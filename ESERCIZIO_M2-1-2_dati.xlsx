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tmo\Desktop\Epicode\Esercizi\"/>
    </mc:Choice>
  </mc:AlternateContent>
  <xr:revisionPtr revIDLastSave="0" documentId="13_ncr:1_{55252331-DE80-4104-A5CB-125BF9F58A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rcheggio" sheetId="1" r:id="rId1"/>
    <sheet name="Frutta" sheetId="2" r:id="rId2"/>
  </sheets>
  <definedNames>
    <definedName name="_xlnm._FilterDatabase" localSheetId="1" hidden="1">Frutta!$A$1:$C$47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2" i="2"/>
  <c r="F4" i="2"/>
  <c r="F5" i="2"/>
  <c r="F6" i="2"/>
  <c r="F3" i="2"/>
  <c r="F2" i="2"/>
  <c r="E2" i="2"/>
  <c r="E3" i="2"/>
  <c r="E4" i="2"/>
  <c r="E5" i="2"/>
  <c r="E6" i="2"/>
  <c r="D3" i="1" a="1"/>
  <c r="D3" i="1"/>
  <c r="D4" i="1" a="1"/>
  <c r="D4" i="1"/>
  <c r="D5" i="1" a="1"/>
  <c r="D5" i="1"/>
  <c r="D6" i="1" a="1"/>
  <c r="D6" i="1"/>
  <c r="D7" i="1" a="1"/>
  <c r="D7" i="1" s="1"/>
  <c r="D8" i="1" a="1"/>
  <c r="D8" i="1"/>
  <c r="D9" i="1" a="1"/>
  <c r="D9" i="1"/>
  <c r="D10" i="1" a="1"/>
  <c r="D10" i="1"/>
  <c r="D11" i="1" a="1"/>
  <c r="D11" i="1"/>
  <c r="D12" i="1" a="1"/>
  <c r="D12" i="1"/>
  <c r="D13" i="1" a="1"/>
  <c r="D13" i="1"/>
  <c r="D14" i="1" a="1"/>
  <c r="D14" i="1"/>
  <c r="D15" i="1" a="1"/>
  <c r="D15" i="1"/>
  <c r="D16" i="1" a="1"/>
  <c r="D16" i="1"/>
  <c r="D17" i="1" a="1"/>
  <c r="D17" i="1"/>
  <c r="D18" i="1" a="1"/>
  <c r="D18" i="1"/>
  <c r="D19" i="1" a="1"/>
  <c r="D19" i="1"/>
  <c r="D20" i="1" a="1"/>
  <c r="D20" i="1"/>
  <c r="D21" i="1" a="1"/>
  <c r="D21" i="1"/>
  <c r="D22" i="1" a="1"/>
  <c r="D22" i="1"/>
  <c r="D23" i="1" a="1"/>
  <c r="D23" i="1"/>
  <c r="D24" i="1" a="1"/>
  <c r="D24" i="1"/>
  <c r="D25" i="1" a="1"/>
  <c r="D25" i="1"/>
  <c r="D26" i="1" a="1"/>
  <c r="D26" i="1"/>
  <c r="D27" i="1" a="1"/>
  <c r="D27" i="1"/>
  <c r="D28" i="1" a="1"/>
  <c r="D28" i="1"/>
  <c r="D29" i="1" a="1"/>
  <c r="D29" i="1"/>
  <c r="D30" i="1" a="1"/>
  <c r="D30" i="1"/>
  <c r="D31" i="1" a="1"/>
  <c r="D31" i="1"/>
  <c r="D32" i="1" a="1"/>
  <c r="D32" i="1"/>
  <c r="D33" i="1" a="1"/>
  <c r="D33" i="1"/>
  <c r="D34" i="1" a="1"/>
  <c r="D34" i="1"/>
  <c r="D35" i="1" a="1"/>
  <c r="D35" i="1"/>
  <c r="D36" i="1" a="1"/>
  <c r="D36" i="1"/>
  <c r="D37" i="1" a="1"/>
  <c r="D37" i="1"/>
  <c r="D38" i="1" a="1"/>
  <c r="D38" i="1"/>
  <c r="D39" i="1" a="1"/>
  <c r="D39" i="1"/>
  <c r="D40" i="1" a="1"/>
  <c r="D40" i="1"/>
  <c r="D41" i="1" a="1"/>
  <c r="D41" i="1"/>
  <c r="D42" i="1" a="1"/>
  <c r="D42" i="1"/>
  <c r="D43" i="1" a="1"/>
  <c r="D43" i="1"/>
  <c r="D44" i="1" a="1"/>
  <c r="D44" i="1"/>
  <c r="D45" i="1" a="1"/>
  <c r="D45" i="1"/>
  <c r="D46" i="1" a="1"/>
  <c r="D46" i="1"/>
  <c r="D47" i="1" a="1"/>
  <c r="D47" i="1"/>
  <c r="D48" i="1" a="1"/>
  <c r="D48" i="1"/>
  <c r="D49" i="1" a="1"/>
  <c r="D49" i="1"/>
  <c r="D50" i="1" a="1"/>
  <c r="D50" i="1"/>
  <c r="D51" i="1" a="1"/>
  <c r="D51" i="1"/>
  <c r="D52" i="1" a="1"/>
  <c r="D52" i="1"/>
  <c r="D53" i="1" a="1"/>
  <c r="D53" i="1"/>
  <c r="D54" i="1" a="1"/>
  <c r="D54" i="1"/>
  <c r="D55" i="1" a="1"/>
  <c r="D55" i="1"/>
  <c r="D56" i="1" a="1"/>
  <c r="D56" i="1"/>
  <c r="D57" i="1" a="1"/>
  <c r="D57" i="1"/>
  <c r="D58" i="1" a="1"/>
  <c r="D58" i="1"/>
  <c r="D59" i="1" a="1"/>
  <c r="D59" i="1"/>
  <c r="D60" i="1" a="1"/>
  <c r="D60" i="1"/>
  <c r="D61" i="1" a="1"/>
  <c r="D61" i="1"/>
  <c r="D62" i="1" a="1"/>
  <c r="D62" i="1"/>
  <c r="D63" i="1" a="1"/>
  <c r="D63" i="1"/>
  <c r="D64" i="1" a="1"/>
  <c r="D64" i="1"/>
  <c r="D65" i="1" a="1"/>
  <c r="D65" i="1"/>
  <c r="D66" i="1" a="1"/>
  <c r="D66" i="1"/>
  <c r="D67" i="1" a="1"/>
  <c r="D67" i="1"/>
  <c r="D68" i="1" a="1"/>
  <c r="D68" i="1"/>
  <c r="D69" i="1" a="1"/>
  <c r="D69" i="1"/>
  <c r="D70" i="1" a="1"/>
  <c r="D70" i="1"/>
  <c r="D71" i="1" a="1"/>
  <c r="D71" i="1"/>
  <c r="D72" i="1" a="1"/>
  <c r="D72" i="1"/>
  <c r="D73" i="1" a="1"/>
  <c r="D73" i="1"/>
  <c r="D74" i="1" a="1"/>
  <c r="D74" i="1"/>
  <c r="D75" i="1" a="1"/>
  <c r="D75" i="1" s="1"/>
  <c r="D76" i="1" a="1"/>
  <c r="D76" i="1"/>
  <c r="D77" i="1" a="1"/>
  <c r="D77" i="1"/>
  <c r="D78" i="1" a="1"/>
  <c r="D78" i="1"/>
  <c r="D79" i="1" a="1"/>
  <c r="D79" i="1"/>
  <c r="D80" i="1" a="1"/>
  <c r="D80" i="1"/>
  <c r="D81" i="1" a="1"/>
  <c r="D81" i="1"/>
  <c r="D82" i="1" a="1"/>
  <c r="D82" i="1"/>
  <c r="D83" i="1" a="1"/>
  <c r="D83" i="1"/>
  <c r="D84" i="1" a="1"/>
  <c r="D84" i="1"/>
  <c r="D85" i="1" a="1"/>
  <c r="D85" i="1"/>
  <c r="D86" i="1" a="1"/>
  <c r="D86" i="1"/>
  <c r="D87" i="1" a="1"/>
  <c r="D87" i="1"/>
  <c r="D88" i="1" a="1"/>
  <c r="D88" i="1"/>
  <c r="D89" i="1" a="1"/>
  <c r="D89" i="1"/>
  <c r="D90" i="1" a="1"/>
  <c r="D90" i="1"/>
  <c r="D91" i="1" a="1"/>
  <c r="D91" i="1"/>
  <c r="D92" i="1" a="1"/>
  <c r="D92" i="1"/>
  <c r="D93" i="1" a="1"/>
  <c r="D93" i="1"/>
  <c r="D94" i="1" a="1"/>
  <c r="D94" i="1"/>
  <c r="D95" i="1" a="1"/>
  <c r="D95" i="1"/>
  <c r="D96" i="1" a="1"/>
  <c r="D96" i="1"/>
  <c r="D97" i="1" a="1"/>
  <c r="D97" i="1"/>
  <c r="D98" i="1" a="1"/>
  <c r="D98" i="1"/>
  <c r="D99" i="1" a="1"/>
  <c r="D99" i="1"/>
  <c r="D100" i="1" a="1"/>
  <c r="D100" i="1"/>
  <c r="D101" i="1" a="1"/>
  <c r="D101" i="1"/>
  <c r="D2" i="1" a="1"/>
  <c r="D2" i="1"/>
  <c r="C3" i="1" a="1"/>
  <c r="C3" i="1"/>
  <c r="C4" i="1" a="1"/>
  <c r="C4" i="1"/>
  <c r="C5" i="1" a="1"/>
  <c r="C5" i="1"/>
  <c r="C6" i="1" a="1"/>
  <c r="C6" i="1"/>
  <c r="C7" i="1" a="1"/>
  <c r="C7" i="1"/>
  <c r="C8" i="1" a="1"/>
  <c r="C8" i="1"/>
  <c r="C9" i="1" a="1"/>
  <c r="C9" i="1"/>
  <c r="C10" i="1" a="1"/>
  <c r="C10" i="1"/>
  <c r="C11" i="1" a="1"/>
  <c r="C11" i="1"/>
  <c r="C12" i="1" a="1"/>
  <c r="C12" i="1"/>
  <c r="C13" i="1" a="1"/>
  <c r="C13" i="1"/>
  <c r="C14" i="1" a="1"/>
  <c r="C14" i="1"/>
  <c r="C15" i="1" a="1"/>
  <c r="C15" i="1"/>
  <c r="C16" i="1" a="1"/>
  <c r="C16" i="1"/>
  <c r="C17" i="1" a="1"/>
  <c r="C17" i="1"/>
  <c r="C18" i="1" a="1"/>
  <c r="C18" i="1"/>
  <c r="C19" i="1" a="1"/>
  <c r="C19" i="1"/>
  <c r="C20" i="1" a="1"/>
  <c r="C20" i="1"/>
  <c r="C21" i="1" a="1"/>
  <c r="C21" i="1"/>
  <c r="C22" i="1" a="1"/>
  <c r="C22" i="1"/>
  <c r="C23" i="1" a="1"/>
  <c r="C23" i="1"/>
  <c r="C24" i="1" a="1"/>
  <c r="C24" i="1"/>
  <c r="C25" i="1" a="1"/>
  <c r="C25" i="1"/>
  <c r="C26" i="1" a="1"/>
  <c r="C26" i="1"/>
  <c r="C27" i="1" a="1"/>
  <c r="C27" i="1"/>
  <c r="C28" i="1" a="1"/>
  <c r="C28" i="1"/>
  <c r="C29" i="1" a="1"/>
  <c r="C29" i="1"/>
  <c r="C30" i="1" a="1"/>
  <c r="C30" i="1"/>
  <c r="C31" i="1" a="1"/>
  <c r="C31" i="1"/>
  <c r="C32" i="1" a="1"/>
  <c r="C32" i="1"/>
  <c r="C33" i="1" a="1"/>
  <c r="C33" i="1"/>
  <c r="C34" i="1" a="1"/>
  <c r="C34" i="1"/>
  <c r="C35" i="1" a="1"/>
  <c r="C35" i="1"/>
  <c r="C36" i="1" a="1"/>
  <c r="C36" i="1"/>
  <c r="C37" i="1" a="1"/>
  <c r="C37" i="1"/>
  <c r="C38" i="1" a="1"/>
  <c r="C38" i="1"/>
  <c r="C39" i="1" a="1"/>
  <c r="C39" i="1"/>
  <c r="C40" i="1" a="1"/>
  <c r="C40" i="1"/>
  <c r="C41" i="1" a="1"/>
  <c r="C41" i="1"/>
  <c r="C42" i="1" a="1"/>
  <c r="C42" i="1"/>
  <c r="C43" i="1" a="1"/>
  <c r="C43" i="1"/>
  <c r="C44" i="1" a="1"/>
  <c r="C44" i="1"/>
  <c r="C45" i="1" a="1"/>
  <c r="C45" i="1"/>
  <c r="C46" i="1" a="1"/>
  <c r="C46" i="1"/>
  <c r="C47" i="1" a="1"/>
  <c r="C47" i="1"/>
  <c r="C48" i="1" a="1"/>
  <c r="C48" i="1"/>
  <c r="C49" i="1" a="1"/>
  <c r="C49" i="1"/>
  <c r="C50" i="1" a="1"/>
  <c r="C50" i="1"/>
  <c r="C51" i="1" a="1"/>
  <c r="C51" i="1"/>
  <c r="C52" i="1" a="1"/>
  <c r="C52" i="1"/>
  <c r="C53" i="1" a="1"/>
  <c r="C53" i="1"/>
  <c r="C54" i="1" a="1"/>
  <c r="C54" i="1"/>
  <c r="C55" i="1" a="1"/>
  <c r="C55" i="1"/>
  <c r="C56" i="1" a="1"/>
  <c r="C56" i="1"/>
  <c r="C57" i="1" a="1"/>
  <c r="C57" i="1"/>
  <c r="C58" i="1" a="1"/>
  <c r="C58" i="1"/>
  <c r="C59" i="1" a="1"/>
  <c r="C59" i="1"/>
  <c r="C60" i="1" a="1"/>
  <c r="C60" i="1"/>
  <c r="C61" i="1" a="1"/>
  <c r="C61" i="1"/>
  <c r="C62" i="1" a="1"/>
  <c r="C62" i="1"/>
  <c r="C63" i="1" a="1"/>
  <c r="C63" i="1"/>
  <c r="C64" i="1" a="1"/>
  <c r="C64" i="1"/>
  <c r="C65" i="1" a="1"/>
  <c r="C65" i="1"/>
  <c r="C66" i="1" a="1"/>
  <c r="C66" i="1"/>
  <c r="C67" i="1" a="1"/>
  <c r="C67" i="1"/>
  <c r="C68" i="1" a="1"/>
  <c r="C68" i="1"/>
  <c r="C69" i="1" a="1"/>
  <c r="C69" i="1"/>
  <c r="C70" i="1" a="1"/>
  <c r="C70" i="1"/>
  <c r="C71" i="1" a="1"/>
  <c r="C71" i="1"/>
  <c r="C72" i="1" a="1"/>
  <c r="C72" i="1"/>
  <c r="C73" i="1" a="1"/>
  <c r="C73" i="1"/>
  <c r="C74" i="1" a="1"/>
  <c r="C74" i="1"/>
  <c r="C75" i="1" a="1"/>
  <c r="C75" i="1"/>
  <c r="C76" i="1" a="1"/>
  <c r="C76" i="1"/>
  <c r="C77" i="1" a="1"/>
  <c r="C77" i="1"/>
  <c r="C78" i="1" a="1"/>
  <c r="C78" i="1"/>
  <c r="C79" i="1" a="1"/>
  <c r="C79" i="1"/>
  <c r="C80" i="1" a="1"/>
  <c r="C80" i="1"/>
  <c r="C81" i="1" a="1"/>
  <c r="C81" i="1"/>
  <c r="C82" i="1" a="1"/>
  <c r="C82" i="1"/>
  <c r="C83" i="1" a="1"/>
  <c r="C83" i="1"/>
  <c r="C84" i="1" a="1"/>
  <c r="C84" i="1"/>
  <c r="C85" i="1" a="1"/>
  <c r="C85" i="1"/>
  <c r="C86" i="1" a="1"/>
  <c r="C86" i="1"/>
  <c r="C87" i="1" a="1"/>
  <c r="C87" i="1"/>
  <c r="C88" i="1" a="1"/>
  <c r="C88" i="1"/>
  <c r="C89" i="1" a="1"/>
  <c r="C89" i="1"/>
  <c r="C90" i="1" a="1"/>
  <c r="C90" i="1"/>
  <c r="C91" i="1" a="1"/>
  <c r="C91" i="1"/>
  <c r="C92" i="1" a="1"/>
  <c r="C92" i="1"/>
  <c r="C93" i="1" a="1"/>
  <c r="C93" i="1"/>
  <c r="C94" i="1" a="1"/>
  <c r="C94" i="1"/>
  <c r="C95" i="1" a="1"/>
  <c r="C95" i="1"/>
  <c r="C96" i="1" a="1"/>
  <c r="C96" i="1"/>
  <c r="C97" i="1" a="1"/>
  <c r="C97" i="1"/>
  <c r="C98" i="1" a="1"/>
  <c r="C98" i="1"/>
  <c r="C99" i="1" a="1"/>
  <c r="C99" i="1"/>
  <c r="C100" i="1" a="1"/>
  <c r="C100" i="1"/>
  <c r="C101" i="1" a="1"/>
  <c r="C101" i="1"/>
  <c r="C2" i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<sst xmlns="http://schemas.openxmlformats.org/spreadsheetml/2006/main" count="162" uniqueCount="114">
  <si>
    <t>TARGA</t>
  </si>
  <si>
    <t>ORE PARCHEGGIATE</t>
  </si>
  <si>
    <t>TIPOLOGIA VEICOLO</t>
  </si>
  <si>
    <t>COSTO</t>
  </si>
  <si>
    <t>AC234DF</t>
  </si>
  <si>
    <t>LM789GH</t>
  </si>
  <si>
    <t>PQ456IJ</t>
  </si>
  <si>
    <t>UV123KL</t>
  </si>
  <si>
    <t>WX789MN</t>
  </si>
  <si>
    <t>YZ012OP</t>
  </si>
  <si>
    <t>AB345QR</t>
  </si>
  <si>
    <t>CD678ST</t>
  </si>
  <si>
    <t>EF901UV</t>
  </si>
  <si>
    <t>GH234WX</t>
  </si>
  <si>
    <t>IJ567YZ</t>
  </si>
  <si>
    <t>KL890AB</t>
  </si>
  <si>
    <t>MN123CD</t>
  </si>
  <si>
    <t>OP456EF</t>
  </si>
  <si>
    <t>QR789GH</t>
  </si>
  <si>
    <t>ST012IJ</t>
  </si>
  <si>
    <t>UV345KL</t>
  </si>
  <si>
    <t>WX678MN</t>
  </si>
  <si>
    <t>YZ901OP</t>
  </si>
  <si>
    <t>AB234QR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</si>
  <si>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</si>
  <si>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</si>
  <si>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</si>
  <si>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</si>
  <si>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</si>
  <si>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</si>
  <si>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</si>
  <si>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</si>
  <si>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</si>
  <si>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</si>
  <si>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</si>
  <si>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</si>
  <si>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</si>
  <si>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</si>
  <si>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</si>
  <si>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</si>
  <si>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</si>
  <si>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</si>
  <si>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</si>
  <si>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</si>
  <si>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</si>
  <si>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</si>
  <si>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</si>
  <si>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</si>
  <si>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</si>
  <si>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</si>
  <si>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</si>
  <si>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</si>
  <si>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</si>
  <si>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</si>
  <si>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</si>
  <si>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</si>
  <si>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</si>
  <si>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</si>
  <si>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</si>
  <si>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</si>
  <si>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</si>
  <si>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</si>
  <si>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</si>
  <si>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</si>
  <si>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</si>
  <si>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</si>
  <si>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</si>
  <si>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</si>
  <si>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</si>
  <si>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</si>
  <si>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</si>
  <si>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</si>
  <si>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</si>
  <si>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</si>
  <si>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</si>
  <si>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</si>
  <si>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</si>
  <si>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</si>
  <si>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</si>
  <si>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</si>
  <si>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</si>
  <si>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</si>
  <si>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</si>
  <si>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</si>
  <si>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</si>
  <si>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</si>
  <si>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</si>
  <si>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</si>
  <si>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</si>
  <si>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</si>
  <si>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</si>
  <si>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</si>
  <si>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</si>
  <si>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</si>
  <si>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</si>
  <si>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</si>
  <si>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</si>
  <si>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</si>
  <si>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</si>
  <si>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</si>
  <si>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</si>
  <si>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</si>
  <si>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</si>
  <si>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</si>
  <si>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</si>
  <si>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</si>
  <si>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</si>
  <si>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</si>
  <si>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</si>
  <si>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</si>
  <si>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>TIPOLOGIE MEZZI</t>
  </si>
  <si>
    <t>CONTEGGIO</t>
  </si>
  <si>
    <t>PESO TOTALE</t>
  </si>
  <si>
    <t>TARIFFA ORARIA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</si>
</sst>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2" fontId="1" fillId="0" borderId="0" xfId="0" applyNumberFormat="1" applyFont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horizontal="right"/>
    </xf>
    <xf numFmtId="49" fontId="2" fillId="0" borderId="0" xfId="0" applyNumberFormat="1" applyFont="1"/>
    <xf numFmtId="49" fontId="2" fillId="0" borderId="0" xfId="0" applyNumberFormat="1" applyFont="1" applyAlignment="1">
      <alignment vertic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"/>
  <sheetViews>
    <sheetView tabSelected="1" workbookViewId="0">
      <selection activeCell="D11" sqref="D11"/>
    </sheetView>
  </sheetViews>
  <sheetFormatPr defaultColWidth="12.6640625" defaultRowHeight="15.75" customHeight="1" x14ac:dyDescent="0.25"/>
  <cols>
    <col min="2" max="2" width="25.33203125" style="5" customWidth="1"/>
    <col min="3" max="3" width="22" bestFit="1" customWidth="1"/>
    <col min="4" max="4" width="9.77734375" bestFit="1" customWidth="1"/>
    <col min="7" max="7" width="18.44140625" bestFit="1" customWidth="1"/>
    <col min="8" max="8" width="18.109375" bestFit="1" customWidth="1"/>
  </cols>
  <sheetData>
    <row r="1" spans="1:26" x14ac:dyDescent="0.25">
      <c r="A1" s="1" t="s">
        <v>0</v>
      </c>
      <c r="B1" s="4" t="s">
        <v>1</v>
      </c>
      <c r="C1" s="1" t="s">
        <v>2</v>
      </c>
      <c r="D1" s="1" t="s">
        <v>3</v>
      </c>
      <c r="E1" s="1"/>
      <c r="F1" s="1"/>
      <c r="G1" s="1" t="s">
        <v>110</v>
      </c>
      <c r="H1" s="1" t="s">
        <v>113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4</v>
      </c>
      <c r="B2" s="7">
        <v>1.5</v>
      </c>
      <c r="C2" s="6" cm="1">
        <f t="array" ref="C2">_xlfn.IFS(LEFT(A2,1)&lt;="F",$G$2,LEFT(A2,1)&lt;="M",$G$3,LEFT(A2,1)&lt;="Z",$G$4)</f>
        <v>0</v>
      </c>
      <c r="D2" s="3" cm="1">
        <f t="array" ref="D2">_xlfn.IFS(C2=$G$2,B2*$H$2,C2=$G$3,B2*$H$3,C2=$G$4,B2*$H$4)</f>
        <v>6</v>
      </c>
      <c r="G2">
        <v>0</v>
      </c>
      <c r="H2" s="3">
        <v>4</v>
      </c>
    </row>
    <row r="3" spans="1:26" x14ac:dyDescent="0.25">
      <c r="A3" s="2" t="s">
        <v>5</v>
      </c>
      <c r="B3" s="8">
        <v>2.5</v>
      </c>
      <c r="C3" cm="1">
        <f t="array" ref="C3">_xlfn.IFS(LEFT(A3,1)&lt;="F",$G$2,LEFT(A3,1)&lt;="M",$G$3,LEFT(A3,1)&lt;="Z",$G$4)</f>
        <v>1</v>
      </c>
      <c r="D3" s="3" cm="1">
        <f t="array" ref="D3">_xlfn.IFS(C3=$G$2,B3*$H$2,C3=$G$3,B3*$H$3,C3=$G$4,B3*$H$4)</f>
        <v>7.5</v>
      </c>
      <c r="G3">
        <v>1</v>
      </c>
      <c r="H3" s="3">
        <v>3</v>
      </c>
    </row>
    <row r="4" spans="1:26" x14ac:dyDescent="0.25">
      <c r="A4" s="2" t="s">
        <v>6</v>
      </c>
      <c r="B4" s="8">
        <v>3.5</v>
      </c>
      <c r="C4" cm="1">
        <f t="array" ref="C4">_xlfn.IFS(LEFT(A4,1)&lt;="F",$G$2,LEFT(A4,1)&lt;="M",$G$3,LEFT(A4,1)&lt;="Z",$G$4)</f>
        <v>2</v>
      </c>
      <c r="D4" s="3" cm="1">
        <f t="array" ref="D4">_xlfn.IFS(C4=$G$2,B4*$H$2,C4=$G$3,B4*$H$3,C4=$G$4,B4*$H$4)</f>
        <v>7</v>
      </c>
      <c r="G4">
        <v>2</v>
      </c>
      <c r="H4" s="3">
        <v>2</v>
      </c>
    </row>
    <row r="5" spans="1:26" x14ac:dyDescent="0.25">
      <c r="A5" s="2" t="s">
        <v>7</v>
      </c>
      <c r="B5" s="8">
        <v>4.5</v>
      </c>
      <c r="C5" cm="1">
        <f t="array" ref="C5">_xlfn.IFS(LEFT(A5,1)&lt;="F",$G$2,LEFT(A5,1)&lt;="M",$G$3,LEFT(A5,1)&lt;="Z",$G$4)</f>
        <v>2</v>
      </c>
      <c r="D5" s="3" cm="1">
        <f t="array" ref="D5">_xlfn.IFS(C5=$G$2,B5*$H$2,C5=$G$3,B5*$H$3,C5=$G$4,B5*$H$4)</f>
        <v>9</v>
      </c>
    </row>
    <row r="6" spans="1:26" x14ac:dyDescent="0.25">
      <c r="A6" s="2" t="s">
        <v>8</v>
      </c>
      <c r="B6" s="8">
        <v>5.5</v>
      </c>
      <c r="C6" cm="1">
        <f t="array" ref="C6">_xlfn.IFS(LEFT(A6,1)&lt;="F",$G$2,LEFT(A6,1)&lt;="M",$G$3,LEFT(A6,1)&lt;="Z",$G$4)</f>
        <v>2</v>
      </c>
      <c r="D6" s="3" cm="1">
        <f t="array" ref="D6">_xlfn.IFS(C6=$G$2,B6*$H$2,C6=$G$3,B6*$H$3,C6=$G$4,B6*$H$4)</f>
        <v>11</v>
      </c>
    </row>
    <row r="7" spans="1:26" x14ac:dyDescent="0.25">
      <c r="A7" s="2" t="s">
        <v>9</v>
      </c>
      <c r="B7" s="8">
        <v>6.5</v>
      </c>
      <c r="C7" cm="1">
        <f t="array" ref="C7">_xlfn.IFS(LEFT(A7,1)&lt;="F",$G$2,LEFT(A7,1)&lt;="M",$G$3,LEFT(A7,1)&lt;="Z",$G$4)</f>
        <v>2</v>
      </c>
      <c r="D7" s="3" cm="1">
        <f t="array" ref="D7">_xlfn.IFS(C7=$G$2,B7*$H$2,C7=$G$3,B7*$H$3,C7=$G$4,B7*$H$4)</f>
        <v>13</v>
      </c>
    </row>
    <row r="8" spans="1:26" x14ac:dyDescent="0.25">
      <c r="A8" s="2" t="s">
        <v>10</v>
      </c>
      <c r="B8" s="8">
        <v>7.5</v>
      </c>
      <c r="C8" cm="1">
        <f t="array" ref="C8">_xlfn.IFS(LEFT(A8,1)&lt;="F",$G$2,LEFT(A8,1)&lt;="M",$G$3,LEFT(A8,1)&lt;="Z",$G$4)</f>
        <v>0</v>
      </c>
      <c r="D8" s="3" cm="1">
        <f t="array" ref="D8">_xlfn.IFS(C8=$G$2,B8*$H$2,C8=$G$3,B8*$H$3,C8=$G$4,B8*$H$4)</f>
        <v>30</v>
      </c>
    </row>
    <row r="9" spans="1:26" x14ac:dyDescent="0.25">
      <c r="A9" s="2" t="s">
        <v>11</v>
      </c>
      <c r="B9" s="8">
        <v>8.5</v>
      </c>
      <c r="C9" cm="1">
        <f t="array" ref="C9">_xlfn.IFS(LEFT(A9,1)&lt;="F",$G$2,LEFT(A9,1)&lt;="M",$G$3,LEFT(A9,1)&lt;="Z",$G$4)</f>
        <v>0</v>
      </c>
      <c r="D9" s="3" cm="1">
        <f t="array" ref="D9">_xlfn.IFS(C9=$G$2,B9*$H$2,C9=$G$3,B9*$H$3,C9=$G$4,B9*$H$4)</f>
        <v>34</v>
      </c>
    </row>
    <row r="10" spans="1:26" x14ac:dyDescent="0.25">
      <c r="A10" s="2" t="s">
        <v>12</v>
      </c>
      <c r="B10" s="8">
        <v>9.5</v>
      </c>
      <c r="C10" cm="1">
        <f t="array" ref="C10">_xlfn.IFS(LEFT(A10,1)&lt;="F",$G$2,LEFT(A10,1)&lt;="M",$G$3,LEFT(A10,1)&lt;="Z",$G$4)</f>
        <v>0</v>
      </c>
      <c r="D10" s="3" cm="1">
        <f t="array" ref="D10">_xlfn.IFS(C10=$G$2,B10*$H$2,C10=$G$3,B10*$H$3,C10=$G$4,B10*$H$4)</f>
        <v>38</v>
      </c>
    </row>
    <row r="11" spans="1:26" x14ac:dyDescent="0.25">
      <c r="A11" s="2" t="s">
        <v>13</v>
      </c>
      <c r="B11" s="8">
        <v>10</v>
      </c>
      <c r="C11" cm="1">
        <f t="array" ref="C11">_xlfn.IFS(LEFT(A11,1)&lt;="F",$G$2,LEFT(A11,1)&lt;="M",$G$3,LEFT(A11,1)&lt;="Z",$G$4)</f>
        <v>1</v>
      </c>
      <c r="D11" s="3" cm="1">
        <f t="array" ref="D11">_xlfn.IFS(C11=$G$2,B11*$H$2,C11=$G$3,B11*$H$3,C11=$G$4,B11*$H$4)</f>
        <v>30</v>
      </c>
    </row>
    <row r="12" spans="1:26" x14ac:dyDescent="0.25">
      <c r="A12" s="2" t="s">
        <v>14</v>
      </c>
      <c r="B12" s="8">
        <v>0.5</v>
      </c>
      <c r="C12" cm="1">
        <f t="array" ref="C12">_xlfn.IFS(LEFT(A12,1)&lt;="F",$G$2,LEFT(A12,1)&lt;="M",$G$3,LEFT(A12,1)&lt;="Z",$G$4)</f>
        <v>1</v>
      </c>
      <c r="D12" s="3" cm="1">
        <f t="array" ref="D12">_xlfn.IFS(C12=$G$2,B12*$H$2,C12=$G$3,B12*$H$3,C12=$G$4,B12*$H$4)</f>
        <v>1.5</v>
      </c>
    </row>
    <row r="13" spans="1:26" x14ac:dyDescent="0.25">
      <c r="A13" s="2" t="s">
        <v>15</v>
      </c>
      <c r="B13" s="8">
        <v>1</v>
      </c>
      <c r="C13" cm="1">
        <f t="array" ref="C13">_xlfn.IFS(LEFT(A13,1)&lt;="F",$G$2,LEFT(A13,1)&lt;="M",$G$3,LEFT(A13,1)&lt;="Z",$G$4)</f>
        <v>1</v>
      </c>
      <c r="D13" s="3" cm="1">
        <f t="array" ref="D13">_xlfn.IFS(C13=$G$2,B13*$H$2,C13=$G$3,B13*$H$3,C13=$G$4,B13*$H$4)</f>
        <v>3</v>
      </c>
    </row>
    <row r="14" spans="1:26" x14ac:dyDescent="0.25">
      <c r="A14" s="2" t="s">
        <v>16</v>
      </c>
      <c r="B14" s="8">
        <v>2</v>
      </c>
      <c r="C14" cm="1">
        <f t="array" ref="C14">_xlfn.IFS(LEFT(A14,1)&lt;="F",$G$2,LEFT(A14,1)&lt;="M",$G$3,LEFT(A14,1)&lt;="Z",$G$4)</f>
        <v>1</v>
      </c>
      <c r="D14" s="3" cm="1">
        <f t="array" ref="D14">_xlfn.IFS(C14=$G$2,B14*$H$2,C14=$G$3,B14*$H$3,C14=$G$4,B14*$H$4)</f>
        <v>6</v>
      </c>
    </row>
    <row r="15" spans="1:26" x14ac:dyDescent="0.25">
      <c r="A15" s="2" t="s">
        <v>17</v>
      </c>
      <c r="B15" s="8">
        <v>3</v>
      </c>
      <c r="C15" cm="1">
        <f t="array" ref="C15">_xlfn.IFS(LEFT(A15,1)&lt;="F",$G$2,LEFT(A15,1)&lt;="M",$G$3,LEFT(A15,1)&lt;="Z",$G$4)</f>
        <v>2</v>
      </c>
      <c r="D15" s="3" cm="1">
        <f t="array" ref="D15">_xlfn.IFS(C15=$G$2,B15*$H$2,C15=$G$3,B15*$H$3,C15=$G$4,B15*$H$4)</f>
        <v>6</v>
      </c>
    </row>
    <row r="16" spans="1:26" x14ac:dyDescent="0.25">
      <c r="A16" s="2" t="s">
        <v>18</v>
      </c>
      <c r="B16" s="8">
        <v>4</v>
      </c>
      <c r="C16" cm="1">
        <f t="array" ref="C16">_xlfn.IFS(LEFT(A16,1)&lt;="F",$G$2,LEFT(A16,1)&lt;="M",$G$3,LEFT(A16,1)&lt;="Z",$G$4)</f>
        <v>2</v>
      </c>
      <c r="D16" s="3" cm="1">
        <f t="array" ref="D16">_xlfn.IFS(C16=$G$2,B16*$H$2,C16=$G$3,B16*$H$3,C16=$G$4,B16*$H$4)</f>
        <v>8</v>
      </c>
    </row>
    <row r="17" spans="1:4" x14ac:dyDescent="0.25">
      <c r="A17" s="2" t="s">
        <v>19</v>
      </c>
      <c r="B17" s="8">
        <v>5</v>
      </c>
      <c r="C17" cm="1">
        <f t="array" ref="C17">_xlfn.IFS(LEFT(A17,1)&lt;="F",$G$2,LEFT(A17,1)&lt;="M",$G$3,LEFT(A17,1)&lt;="Z",$G$4)</f>
        <v>2</v>
      </c>
      <c r="D17" s="3" cm="1">
        <f t="array" ref="D17">_xlfn.IFS(C17=$G$2,B17*$H$2,C17=$G$3,B17*$H$3,C17=$G$4,B17*$H$4)</f>
        <v>10</v>
      </c>
    </row>
    <row r="18" spans="1:4" x14ac:dyDescent="0.25">
      <c r="A18" s="2" t="s">
        <v>20</v>
      </c>
      <c r="B18" s="8">
        <v>6</v>
      </c>
      <c r="C18" cm="1">
        <f t="array" ref="C18">_xlfn.IFS(LEFT(A18,1)&lt;="F",$G$2,LEFT(A18,1)&lt;="M",$G$3,LEFT(A18,1)&lt;="Z",$G$4)</f>
        <v>2</v>
      </c>
      <c r="D18" s="3" cm="1">
        <f t="array" ref="D18">_xlfn.IFS(C18=$G$2,B18*$H$2,C18=$G$3,B18*$H$3,C18=$G$4,B18*$H$4)</f>
        <v>12</v>
      </c>
    </row>
    <row r="19" spans="1:4" x14ac:dyDescent="0.25">
      <c r="A19" s="2" t="s">
        <v>21</v>
      </c>
      <c r="B19" s="8">
        <v>7</v>
      </c>
      <c r="C19" cm="1">
        <f t="array" ref="C19">_xlfn.IFS(LEFT(A19,1)&lt;="F",$G$2,LEFT(A19,1)&lt;="M",$G$3,LEFT(A19,1)&lt;="Z",$G$4)</f>
        <v>2</v>
      </c>
      <c r="D19" s="3" cm="1">
        <f t="array" ref="D19">_xlfn.IFS(C19=$G$2,B19*$H$2,C19=$G$3,B19*$H$3,C19=$G$4,B19*$H$4)</f>
        <v>14</v>
      </c>
    </row>
    <row r="20" spans="1:4" x14ac:dyDescent="0.25">
      <c r="A20" s="2" t="s">
        <v>22</v>
      </c>
      <c r="B20" s="8">
        <v>8</v>
      </c>
      <c r="C20" cm="1">
        <f t="array" ref="C20">_xlfn.IFS(LEFT(A20,1)&lt;="F",$G$2,LEFT(A20,1)&lt;="M",$G$3,LEFT(A20,1)&lt;="Z",$G$4)</f>
        <v>2</v>
      </c>
      <c r="D20" s="3" cm="1">
        <f t="array" ref="D20">_xlfn.IFS(C20=$G$2,B20*$H$2,C20=$G$3,B20*$H$3,C20=$G$4,B20*$H$4)</f>
        <v>16</v>
      </c>
    </row>
    <row r="21" spans="1:4" x14ac:dyDescent="0.25">
      <c r="A21" s="2" t="s">
        <v>23</v>
      </c>
      <c r="B21" s="8">
        <v>9</v>
      </c>
      <c r="C21" cm="1">
        <f t="array" ref="C21">_xlfn.IFS(LEFT(A21,1)&lt;="F",$G$2,LEFT(A21,1)&lt;="M",$G$3,LEFT(A21,1)&lt;="Z",$G$4)</f>
        <v>0</v>
      </c>
      <c r="D21" s="3" cm="1">
        <f t="array" ref="D21">_xlfn.IFS(C21=$G$2,B21*$H$2,C21=$G$3,B21*$H$3,C21=$G$4,B21*$H$4)</f>
        <v>36</v>
      </c>
    </row>
    <row r="22" spans="1:4" x14ac:dyDescent="0.25">
      <c r="A22" s="2" t="s">
        <v>24</v>
      </c>
      <c r="B22" s="8">
        <v>10</v>
      </c>
      <c r="C22" cm="1">
        <f t="array" ref="C22">_xlfn.IFS(LEFT(A22,1)&lt;="F",$G$2,LEFT(A22,1)&lt;="M",$G$3,LEFT(A22,1)&lt;="Z",$G$4)</f>
        <v>0</v>
      </c>
      <c r="D22" s="3" cm="1">
        <f t="array" ref="D22">_xlfn.IFS(C22=$G$2,B22*$H$2,C22=$G$3,B22*$H$3,C22=$G$4,B22*$H$4)</f>
        <v>40</v>
      </c>
    </row>
    <row r="23" spans="1:4" x14ac:dyDescent="0.25">
      <c r="A23" s="2" t="s">
        <v>25</v>
      </c>
      <c r="B23" s="8">
        <v>0.5</v>
      </c>
      <c r="C23" cm="1">
        <f t="array" ref="C23">_xlfn.IFS(LEFT(A23,1)&lt;="F",$G$2,LEFT(A23,1)&lt;="M",$G$3,LEFT(A23,1)&lt;="Z",$G$4)</f>
        <v>0</v>
      </c>
      <c r="D23" s="3" cm="1">
        <f t="array" ref="D23">_xlfn.IFS(C23=$G$2,B23*$H$2,C23=$G$3,B23*$H$3,C23=$G$4,B23*$H$4)</f>
        <v>2</v>
      </c>
    </row>
    <row r="24" spans="1:4" x14ac:dyDescent="0.25">
      <c r="A24" s="2" t="s">
        <v>26</v>
      </c>
      <c r="B24" s="8">
        <v>1</v>
      </c>
      <c r="C24" cm="1">
        <f t="array" ref="C24">_xlfn.IFS(LEFT(A24,1)&lt;="F",$G$2,LEFT(A24,1)&lt;="M",$G$3,LEFT(A24,1)&lt;="Z",$G$4)</f>
        <v>1</v>
      </c>
      <c r="D24" s="3" cm="1">
        <f t="array" ref="D24">_xlfn.IFS(C24=$G$2,B24*$H$2,C24=$G$3,B24*$H$3,C24=$G$4,B24*$H$4)</f>
        <v>3</v>
      </c>
    </row>
    <row r="25" spans="1:4" x14ac:dyDescent="0.25">
      <c r="A25" s="2" t="s">
        <v>27</v>
      </c>
      <c r="B25" s="8">
        <v>2</v>
      </c>
      <c r="C25" cm="1">
        <f t="array" ref="C25">_xlfn.IFS(LEFT(A25,1)&lt;="F",$G$2,LEFT(A25,1)&lt;="M",$G$3,LEFT(A25,1)&lt;="Z",$G$4)</f>
        <v>1</v>
      </c>
      <c r="D25" s="3" cm="1">
        <f t="array" ref="D25">_xlfn.IFS(C25=$G$2,B25*$H$2,C25=$G$3,B25*$H$3,C25=$G$4,B25*$H$4)</f>
        <v>6</v>
      </c>
    </row>
    <row r="26" spans="1:4" x14ac:dyDescent="0.25">
      <c r="A26" s="2" t="s">
        <v>28</v>
      </c>
      <c r="B26" s="8">
        <v>3</v>
      </c>
      <c r="C26" cm="1">
        <f t="array" ref="C26">_xlfn.IFS(LEFT(A26,1)&lt;="F",$G$2,LEFT(A26,1)&lt;="M",$G$3,LEFT(A26,1)&lt;="Z",$G$4)</f>
        <v>1</v>
      </c>
      <c r="D26" s="3" cm="1">
        <f t="array" ref="D26">_xlfn.IFS(C26=$G$2,B26*$H$2,C26=$G$3,B26*$H$3,C26=$G$4,B26*$H$4)</f>
        <v>9</v>
      </c>
    </row>
    <row r="27" spans="1:4" x14ac:dyDescent="0.25">
      <c r="A27" s="2" t="s">
        <v>29</v>
      </c>
      <c r="B27" s="8">
        <v>4</v>
      </c>
      <c r="C27" cm="1">
        <f t="array" ref="C27">_xlfn.IFS(LEFT(A27,1)&lt;="F",$G$2,LEFT(A27,1)&lt;="M",$G$3,LEFT(A27,1)&lt;="Z",$G$4)</f>
        <v>1</v>
      </c>
      <c r="D27" s="3" cm="1">
        <f t="array" ref="D27">_xlfn.IFS(C27=$G$2,B27*$H$2,C27=$G$3,B27*$H$3,C27=$G$4,B27*$H$4)</f>
        <v>12</v>
      </c>
    </row>
    <row r="28" spans="1:4" x14ac:dyDescent="0.25">
      <c r="A28" s="2" t="s">
        <v>30</v>
      </c>
      <c r="B28" s="8">
        <v>5</v>
      </c>
      <c r="C28" cm="1">
        <f t="array" ref="C28">_xlfn.IFS(LEFT(A28,1)&lt;="F",$G$2,LEFT(A28,1)&lt;="M",$G$3,LEFT(A28,1)&lt;="Z",$G$4)</f>
        <v>2</v>
      </c>
      <c r="D28" s="3" cm="1">
        <f t="array" ref="D28">_xlfn.IFS(C28=$G$2,B28*$H$2,C28=$G$3,B28*$H$3,C28=$G$4,B28*$H$4)</f>
        <v>10</v>
      </c>
    </row>
    <row r="29" spans="1:4" x14ac:dyDescent="0.25">
      <c r="A29" s="2" t="s">
        <v>31</v>
      </c>
      <c r="B29" s="8">
        <v>6</v>
      </c>
      <c r="C29" cm="1">
        <f t="array" ref="C29">_xlfn.IFS(LEFT(A29,1)&lt;="F",$G$2,LEFT(A29,1)&lt;="M",$G$3,LEFT(A29,1)&lt;="Z",$G$4)</f>
        <v>2</v>
      </c>
      <c r="D29" s="3" cm="1">
        <f t="array" ref="D29">_xlfn.IFS(C29=$G$2,B29*$H$2,C29=$G$3,B29*$H$3,C29=$G$4,B29*$H$4)</f>
        <v>12</v>
      </c>
    </row>
    <row r="30" spans="1:4" x14ac:dyDescent="0.25">
      <c r="A30" s="2" t="s">
        <v>32</v>
      </c>
      <c r="B30" s="8">
        <v>7</v>
      </c>
      <c r="C30" cm="1">
        <f t="array" ref="C30">_xlfn.IFS(LEFT(A30,1)&lt;="F",$G$2,LEFT(A30,1)&lt;="M",$G$3,LEFT(A30,1)&lt;="Z",$G$4)</f>
        <v>2</v>
      </c>
      <c r="D30" s="3" cm="1">
        <f t="array" ref="D30">_xlfn.IFS(C30=$G$2,B30*$H$2,C30=$G$3,B30*$H$3,C30=$G$4,B30*$H$4)</f>
        <v>14</v>
      </c>
    </row>
    <row r="31" spans="1:4" x14ac:dyDescent="0.25">
      <c r="A31" s="2" t="s">
        <v>33</v>
      </c>
      <c r="B31" s="8">
        <v>8</v>
      </c>
      <c r="C31" cm="1">
        <f t="array" ref="C31">_xlfn.IFS(LEFT(A31,1)&lt;="F",$G$2,LEFT(A31,1)&lt;="M",$G$3,LEFT(A31,1)&lt;="Z",$G$4)</f>
        <v>2</v>
      </c>
      <c r="D31" s="3" cm="1">
        <f t="array" ref="D31">_xlfn.IFS(C31=$G$2,B31*$H$2,C31=$G$3,B31*$H$3,C31=$G$4,B31*$H$4)</f>
        <v>16</v>
      </c>
    </row>
    <row r="32" spans="1:4" x14ac:dyDescent="0.25">
      <c r="A32" s="2" t="s">
        <v>34</v>
      </c>
      <c r="B32" s="8">
        <v>9</v>
      </c>
      <c r="C32" cm="1">
        <f t="array" ref="C32">_xlfn.IFS(LEFT(A32,1)&lt;="F",$G$2,LEFT(A32,1)&lt;="M",$G$3,LEFT(A32,1)&lt;="Z",$G$4)</f>
        <v>2</v>
      </c>
      <c r="D32" s="3" cm="1">
        <f t="array" ref="D32">_xlfn.IFS(C32=$G$2,B32*$H$2,C32=$G$3,B32*$H$3,C32=$G$4,B32*$H$4)</f>
        <v>18</v>
      </c>
    </row>
    <row r="33" spans="1:4" x14ac:dyDescent="0.25">
      <c r="A33" s="2" t="s">
        <v>35</v>
      </c>
      <c r="B33" s="8">
        <v>10</v>
      </c>
      <c r="C33" cm="1">
        <f t="array" ref="C33">_xlfn.IFS(LEFT(A33,1)&lt;="F",$G$2,LEFT(A33,1)&lt;="M",$G$3,LEFT(A33,1)&lt;="Z",$G$4)</f>
        <v>2</v>
      </c>
      <c r="D33" s="3" cm="1">
        <f t="array" ref="D33">_xlfn.IFS(C33=$G$2,B33*$H$2,C33=$G$3,B33*$H$3,C33=$G$4,B33*$H$4)</f>
        <v>20</v>
      </c>
    </row>
    <row r="34" spans="1:4" x14ac:dyDescent="0.25">
      <c r="A34" s="2" t="s">
        <v>36</v>
      </c>
      <c r="B34" s="8">
        <v>0.5</v>
      </c>
      <c r="C34" cm="1">
        <f t="array" ref="C34">_xlfn.IFS(LEFT(A34,1)&lt;="F",$G$2,LEFT(A34,1)&lt;="M",$G$3,LEFT(A34,1)&lt;="Z",$G$4)</f>
        <v>0</v>
      </c>
      <c r="D34" s="3" cm="1">
        <f t="array" ref="D34">_xlfn.IFS(C34=$G$2,B34*$H$2,C34=$G$3,B34*$H$3,C34=$G$4,B34*$H$4)</f>
        <v>2</v>
      </c>
    </row>
    <row r="35" spans="1:4" x14ac:dyDescent="0.25">
      <c r="A35" s="2" t="s">
        <v>37</v>
      </c>
      <c r="B35" s="8">
        <v>1</v>
      </c>
      <c r="C35" cm="1">
        <f t="array" ref="C35">_xlfn.IFS(LEFT(A35,1)&lt;="F",$G$2,LEFT(A35,1)&lt;="M",$G$3,LEFT(A35,1)&lt;="Z",$G$4)</f>
        <v>0</v>
      </c>
      <c r="D35" s="3" cm="1">
        <f t="array" ref="D35">_xlfn.IFS(C35=$G$2,B35*$H$2,C35=$G$3,B35*$H$3,C35=$G$4,B35*$H$4)</f>
        <v>4</v>
      </c>
    </row>
    <row r="36" spans="1:4" x14ac:dyDescent="0.25">
      <c r="A36" s="2" t="s">
        <v>38</v>
      </c>
      <c r="B36" s="8">
        <v>2</v>
      </c>
      <c r="C36" cm="1">
        <f t="array" ref="C36">_xlfn.IFS(LEFT(A36,1)&lt;="F",$G$2,LEFT(A36,1)&lt;="M",$G$3,LEFT(A36,1)&lt;="Z",$G$4)</f>
        <v>0</v>
      </c>
      <c r="D36" s="3" cm="1">
        <f t="array" ref="D36">_xlfn.IFS(C36=$G$2,B36*$H$2,C36=$G$3,B36*$H$3,C36=$G$4,B36*$H$4)</f>
        <v>8</v>
      </c>
    </row>
    <row r="37" spans="1:4" x14ac:dyDescent="0.25">
      <c r="A37" s="2" t="s">
        <v>39</v>
      </c>
      <c r="B37" s="8">
        <v>3</v>
      </c>
      <c r="C37" cm="1">
        <f t="array" ref="C37">_xlfn.IFS(LEFT(A37,1)&lt;="F",$G$2,LEFT(A37,1)&lt;="M",$G$3,LEFT(A37,1)&lt;="Z",$G$4)</f>
        <v>1</v>
      </c>
      <c r="D37" s="3" cm="1">
        <f t="array" ref="D37">_xlfn.IFS(C37=$G$2,B37*$H$2,C37=$G$3,B37*$H$3,C37=$G$4,B37*$H$4)</f>
        <v>9</v>
      </c>
    </row>
    <row r="38" spans="1:4" x14ac:dyDescent="0.25">
      <c r="A38" s="2" t="s">
        <v>40</v>
      </c>
      <c r="B38" s="8">
        <v>4</v>
      </c>
      <c r="C38" cm="1">
        <f t="array" ref="C38">_xlfn.IFS(LEFT(A38,1)&lt;="F",$G$2,LEFT(A38,1)&lt;="M",$G$3,LEFT(A38,1)&lt;="Z",$G$4)</f>
        <v>1</v>
      </c>
      <c r="D38" s="3" cm="1">
        <f t="array" ref="D38">_xlfn.IFS(C38=$G$2,B38*$H$2,C38=$G$3,B38*$H$3,C38=$G$4,B38*$H$4)</f>
        <v>12</v>
      </c>
    </row>
    <row r="39" spans="1:4" x14ac:dyDescent="0.25">
      <c r="A39" s="2" t="s">
        <v>41</v>
      </c>
      <c r="B39" s="8">
        <v>5</v>
      </c>
      <c r="C39" cm="1">
        <f t="array" ref="C39">_xlfn.IFS(LEFT(A39,1)&lt;="F",$G$2,LEFT(A39,1)&lt;="M",$G$3,LEFT(A39,1)&lt;="Z",$G$4)</f>
        <v>1</v>
      </c>
      <c r="D39" s="3" cm="1">
        <f t="array" ref="D39">_xlfn.IFS(C39=$G$2,B39*$H$2,C39=$G$3,B39*$H$3,C39=$G$4,B39*$H$4)</f>
        <v>15</v>
      </c>
    </row>
    <row r="40" spans="1:4" x14ac:dyDescent="0.25">
      <c r="A40" s="2" t="s">
        <v>42</v>
      </c>
      <c r="B40" s="8">
        <v>6</v>
      </c>
      <c r="C40" cm="1">
        <f t="array" ref="C40">_xlfn.IFS(LEFT(A40,1)&lt;="F",$G$2,LEFT(A40,1)&lt;="M",$G$3,LEFT(A40,1)&lt;="Z",$G$4)</f>
        <v>1</v>
      </c>
      <c r="D40" s="3" cm="1">
        <f t="array" ref="D40">_xlfn.IFS(C40=$G$2,B40*$H$2,C40=$G$3,B40*$H$3,C40=$G$4,B40*$H$4)</f>
        <v>18</v>
      </c>
    </row>
    <row r="41" spans="1:4" x14ac:dyDescent="0.25">
      <c r="A41" s="2" t="s">
        <v>43</v>
      </c>
      <c r="B41" s="8">
        <v>7</v>
      </c>
      <c r="C41" cm="1">
        <f t="array" ref="C41">_xlfn.IFS(LEFT(A41,1)&lt;="F",$G$2,LEFT(A41,1)&lt;="M",$G$3,LEFT(A41,1)&lt;="Z",$G$4)</f>
        <v>2</v>
      </c>
      <c r="D41" s="3" cm="1">
        <f t="array" ref="D41">_xlfn.IFS(C41=$G$2,B41*$H$2,C41=$G$3,B41*$H$3,C41=$G$4,B41*$H$4)</f>
        <v>14</v>
      </c>
    </row>
    <row r="42" spans="1:4" x14ac:dyDescent="0.25">
      <c r="A42" s="2" t="s">
        <v>44</v>
      </c>
      <c r="B42" s="8">
        <v>8</v>
      </c>
      <c r="C42" cm="1">
        <f t="array" ref="C42">_xlfn.IFS(LEFT(A42,1)&lt;="F",$G$2,LEFT(A42,1)&lt;="M",$G$3,LEFT(A42,1)&lt;="Z",$G$4)</f>
        <v>2</v>
      </c>
      <c r="D42" s="3" cm="1">
        <f t="array" ref="D42">_xlfn.IFS(C42=$G$2,B42*$H$2,C42=$G$3,B42*$H$3,C42=$G$4,B42*$H$4)</f>
        <v>16</v>
      </c>
    </row>
    <row r="43" spans="1:4" x14ac:dyDescent="0.25">
      <c r="A43" s="2" t="s">
        <v>45</v>
      </c>
      <c r="B43" s="8">
        <v>9</v>
      </c>
      <c r="C43" cm="1">
        <f t="array" ref="C43">_xlfn.IFS(LEFT(A43,1)&lt;="F",$G$2,LEFT(A43,1)&lt;="M",$G$3,LEFT(A43,1)&lt;="Z",$G$4)</f>
        <v>2</v>
      </c>
      <c r="D43" s="3" cm="1">
        <f t="array" ref="D43">_xlfn.IFS(C43=$G$2,B43*$H$2,C43=$G$3,B43*$H$3,C43=$G$4,B43*$H$4)</f>
        <v>18</v>
      </c>
    </row>
    <row r="44" spans="1:4" x14ac:dyDescent="0.25">
      <c r="A44" s="2" t="s">
        <v>7</v>
      </c>
      <c r="B44" s="8">
        <v>10</v>
      </c>
      <c r="C44" cm="1">
        <f t="array" ref="C44">_xlfn.IFS(LEFT(A44,1)&lt;="F",$G$2,LEFT(A44,1)&lt;="M",$G$3,LEFT(A44,1)&lt;="Z",$G$4)</f>
        <v>2</v>
      </c>
      <c r="D44" s="3" cm="1">
        <f t="array" ref="D44">_xlfn.IFS(C44=$G$2,B44*$H$2,C44=$G$3,B44*$H$3,C44=$G$4,B44*$H$4)</f>
        <v>20</v>
      </c>
    </row>
    <row r="45" spans="1:4" x14ac:dyDescent="0.25">
      <c r="A45" s="2" t="s">
        <v>46</v>
      </c>
      <c r="B45" s="8">
        <v>0.5</v>
      </c>
      <c r="C45" cm="1">
        <f t="array" ref="C45">_xlfn.IFS(LEFT(A45,1)&lt;="F",$G$2,LEFT(A45,1)&lt;="M",$G$3,LEFT(A45,1)&lt;="Z",$G$4)</f>
        <v>2</v>
      </c>
      <c r="D45" s="3" cm="1">
        <f t="array" ref="D45">_xlfn.IFS(C45=$G$2,B45*$H$2,C45=$G$3,B45*$H$3,C45=$G$4,B45*$H$4)</f>
        <v>1</v>
      </c>
    </row>
    <row r="46" spans="1:4" x14ac:dyDescent="0.25">
      <c r="A46" s="2" t="s">
        <v>47</v>
      </c>
      <c r="B46" s="8">
        <v>1</v>
      </c>
      <c r="C46" cm="1">
        <f t="array" ref="C46">_xlfn.IFS(LEFT(A46,1)&lt;="F",$G$2,LEFT(A46,1)&lt;="M",$G$3,LEFT(A46,1)&lt;="Z",$G$4)</f>
        <v>2</v>
      </c>
      <c r="D46" s="3" cm="1">
        <f t="array" ref="D46">_xlfn.IFS(C46=$G$2,B46*$H$2,C46=$G$3,B46*$H$3,C46=$G$4,B46*$H$4)</f>
        <v>2</v>
      </c>
    </row>
    <row r="47" spans="1:4" x14ac:dyDescent="0.25">
      <c r="A47" s="2" t="s">
        <v>48</v>
      </c>
      <c r="B47" s="8">
        <v>2</v>
      </c>
      <c r="C47" cm="1">
        <f t="array" ref="C47">_xlfn.IFS(LEFT(A47,1)&lt;="F",$G$2,LEFT(A47,1)&lt;="M",$G$3,LEFT(A47,1)&lt;="Z",$G$4)</f>
        <v>0</v>
      </c>
      <c r="D47" s="3" cm="1">
        <f t="array" ref="D47">_xlfn.IFS(C47=$G$2,B47*$H$2,C47=$G$3,B47*$H$3,C47=$G$4,B47*$H$4)</f>
        <v>8</v>
      </c>
    </row>
    <row r="48" spans="1:4" x14ac:dyDescent="0.25">
      <c r="A48" s="2" t="s">
        <v>49</v>
      </c>
      <c r="B48" s="8">
        <v>3</v>
      </c>
      <c r="C48" cm="1">
        <f t="array" ref="C48">_xlfn.IFS(LEFT(A48,1)&lt;="F",$G$2,LEFT(A48,1)&lt;="M",$G$3,LEFT(A48,1)&lt;="Z",$G$4)</f>
        <v>0</v>
      </c>
      <c r="D48" s="3" cm="1">
        <f t="array" ref="D48">_xlfn.IFS(C48=$G$2,B48*$H$2,C48=$G$3,B48*$H$3,C48=$G$4,B48*$H$4)</f>
        <v>12</v>
      </c>
    </row>
    <row r="49" spans="1:4" x14ac:dyDescent="0.25">
      <c r="A49" s="2" t="s">
        <v>50</v>
      </c>
      <c r="B49" s="8">
        <v>4</v>
      </c>
      <c r="C49" cm="1">
        <f t="array" ref="C49">_xlfn.IFS(LEFT(A49,1)&lt;="F",$G$2,LEFT(A49,1)&lt;="M",$G$3,LEFT(A49,1)&lt;="Z",$G$4)</f>
        <v>0</v>
      </c>
      <c r="D49" s="3" cm="1">
        <f t="array" ref="D49">_xlfn.IFS(C49=$G$2,B49*$H$2,C49=$G$3,B49*$H$3,C49=$G$4,B49*$H$4)</f>
        <v>16</v>
      </c>
    </row>
    <row r="50" spans="1:4" x14ac:dyDescent="0.25">
      <c r="A50" s="2" t="s">
        <v>51</v>
      </c>
      <c r="B50" s="8">
        <v>5</v>
      </c>
      <c r="C50" cm="1">
        <f t="array" ref="C50">_xlfn.IFS(LEFT(A50,1)&lt;="F",$G$2,LEFT(A50,1)&lt;="M",$G$3,LEFT(A50,1)&lt;="Z",$G$4)</f>
        <v>1</v>
      </c>
      <c r="D50" s="3" cm="1">
        <f t="array" ref="D50">_xlfn.IFS(C50=$G$2,B50*$H$2,C50=$G$3,B50*$H$3,C50=$G$4,B50*$H$4)</f>
        <v>15</v>
      </c>
    </row>
    <row r="51" spans="1:4" x14ac:dyDescent="0.25">
      <c r="A51" s="2" t="s">
        <v>52</v>
      </c>
      <c r="B51" s="8">
        <v>6</v>
      </c>
      <c r="C51" cm="1">
        <f t="array" ref="C51">_xlfn.IFS(LEFT(A51,1)&lt;="F",$G$2,LEFT(A51,1)&lt;="M",$G$3,LEFT(A51,1)&lt;="Z",$G$4)</f>
        <v>1</v>
      </c>
      <c r="D51" s="3" cm="1">
        <f t="array" ref="D51">_xlfn.IFS(C51=$G$2,B51*$H$2,C51=$G$3,B51*$H$3,C51=$G$4,B51*$H$4)</f>
        <v>18</v>
      </c>
    </row>
    <row r="52" spans="1:4" x14ac:dyDescent="0.25">
      <c r="A52" s="2" t="s">
        <v>53</v>
      </c>
      <c r="B52" s="8">
        <v>7</v>
      </c>
      <c r="C52" cm="1">
        <f t="array" ref="C52">_xlfn.IFS(LEFT(A52,1)&lt;="F",$G$2,LEFT(A52,1)&lt;="M",$G$3,LEFT(A52,1)&lt;="Z",$G$4)</f>
        <v>1</v>
      </c>
      <c r="D52" s="3" cm="1">
        <f t="array" ref="D52">_xlfn.IFS(C52=$G$2,B52*$H$2,C52=$G$3,B52*$H$3,C52=$G$4,B52*$H$4)</f>
        <v>21</v>
      </c>
    </row>
    <row r="53" spans="1:4" x14ac:dyDescent="0.25">
      <c r="A53" s="2" t="s">
        <v>54</v>
      </c>
      <c r="B53" s="8">
        <v>8</v>
      </c>
      <c r="C53" cm="1">
        <f t="array" ref="C53">_xlfn.IFS(LEFT(A53,1)&lt;="F",$G$2,LEFT(A53,1)&lt;="M",$G$3,LEFT(A53,1)&lt;="Z",$G$4)</f>
        <v>1</v>
      </c>
      <c r="D53" s="3" cm="1">
        <f t="array" ref="D53">_xlfn.IFS(C53=$G$2,B53*$H$2,C53=$G$3,B53*$H$3,C53=$G$4,B53*$H$4)</f>
        <v>24</v>
      </c>
    </row>
    <row r="54" spans="1:4" x14ac:dyDescent="0.25">
      <c r="A54" s="2" t="s">
        <v>55</v>
      </c>
      <c r="B54" s="8">
        <v>9</v>
      </c>
      <c r="C54" cm="1">
        <f t="array" ref="C54">_xlfn.IFS(LEFT(A54,1)&lt;="F",$G$2,LEFT(A54,1)&lt;="M",$G$3,LEFT(A54,1)&lt;="Z",$G$4)</f>
        <v>2</v>
      </c>
      <c r="D54" s="3" cm="1">
        <f t="array" ref="D54">_xlfn.IFS(C54=$G$2,B54*$H$2,C54=$G$3,B54*$H$3,C54=$G$4,B54*$H$4)</f>
        <v>18</v>
      </c>
    </row>
    <row r="55" spans="1:4" x14ac:dyDescent="0.25">
      <c r="A55" s="2" t="s">
        <v>56</v>
      </c>
      <c r="B55" s="8">
        <v>10</v>
      </c>
      <c r="C55" cm="1">
        <f t="array" ref="C55">_xlfn.IFS(LEFT(A55,1)&lt;="F",$G$2,LEFT(A55,1)&lt;="M",$G$3,LEFT(A55,1)&lt;="Z",$G$4)</f>
        <v>2</v>
      </c>
      <c r="D55" s="3" cm="1">
        <f t="array" ref="D55">_xlfn.IFS(C55=$G$2,B55*$H$2,C55=$G$3,B55*$H$3,C55=$G$4,B55*$H$4)</f>
        <v>20</v>
      </c>
    </row>
    <row r="56" spans="1:4" x14ac:dyDescent="0.25">
      <c r="A56" s="2" t="s">
        <v>57</v>
      </c>
      <c r="B56" s="8">
        <v>0.5</v>
      </c>
      <c r="C56" cm="1">
        <f t="array" ref="C56">_xlfn.IFS(LEFT(A56,1)&lt;="F",$G$2,LEFT(A56,1)&lt;="M",$G$3,LEFT(A56,1)&lt;="Z",$G$4)</f>
        <v>2</v>
      </c>
      <c r="D56" s="3" cm="1">
        <f t="array" ref="D56">_xlfn.IFS(C56=$G$2,B56*$H$2,C56=$G$3,B56*$H$3,C56=$G$4,B56*$H$4)</f>
        <v>1</v>
      </c>
    </row>
    <row r="57" spans="1:4" x14ac:dyDescent="0.25">
      <c r="A57" s="2" t="s">
        <v>58</v>
      </c>
      <c r="B57" s="8">
        <v>1</v>
      </c>
      <c r="C57" cm="1">
        <f t="array" ref="C57">_xlfn.IFS(LEFT(A57,1)&lt;="F",$G$2,LEFT(A57,1)&lt;="M",$G$3,LEFT(A57,1)&lt;="Z",$G$4)</f>
        <v>2</v>
      </c>
      <c r="D57" s="3" cm="1">
        <f t="array" ref="D57">_xlfn.IFS(C57=$G$2,B57*$H$2,C57=$G$3,B57*$H$3,C57=$G$4,B57*$H$4)</f>
        <v>2</v>
      </c>
    </row>
    <row r="58" spans="1:4" x14ac:dyDescent="0.25">
      <c r="A58" s="2" t="s">
        <v>59</v>
      </c>
      <c r="B58" s="8">
        <v>2</v>
      </c>
      <c r="C58" cm="1">
        <f t="array" ref="C58">_xlfn.IFS(LEFT(A58,1)&lt;="F",$G$2,LEFT(A58,1)&lt;="M",$G$3,LEFT(A58,1)&lt;="Z",$G$4)</f>
        <v>2</v>
      </c>
      <c r="D58" s="3" cm="1">
        <f t="array" ref="D58">_xlfn.IFS(C58=$G$2,B58*$H$2,C58=$G$3,B58*$H$3,C58=$G$4,B58*$H$4)</f>
        <v>4</v>
      </c>
    </row>
    <row r="59" spans="1:4" x14ac:dyDescent="0.25">
      <c r="A59" s="2" t="s">
        <v>60</v>
      </c>
      <c r="B59" s="8">
        <v>3</v>
      </c>
      <c r="C59" cm="1">
        <f t="array" ref="C59">_xlfn.IFS(LEFT(A59,1)&lt;="F",$G$2,LEFT(A59,1)&lt;="M",$G$3,LEFT(A59,1)&lt;="Z",$G$4)</f>
        <v>2</v>
      </c>
      <c r="D59" s="3" cm="1">
        <f t="array" ref="D59">_xlfn.IFS(C59=$G$2,B59*$H$2,C59=$G$3,B59*$H$3,C59=$G$4,B59*$H$4)</f>
        <v>6</v>
      </c>
    </row>
    <row r="60" spans="1:4" x14ac:dyDescent="0.25">
      <c r="A60" s="2" t="s">
        <v>61</v>
      </c>
      <c r="B60" s="8">
        <v>4</v>
      </c>
      <c r="C60" cm="1">
        <f t="array" ref="C60">_xlfn.IFS(LEFT(A60,1)&lt;="F",$G$2,LEFT(A60,1)&lt;="M",$G$3,LEFT(A60,1)&lt;="Z",$G$4)</f>
        <v>0</v>
      </c>
      <c r="D60" s="3" cm="1">
        <f t="array" ref="D60">_xlfn.IFS(C60=$G$2,B60*$H$2,C60=$G$3,B60*$H$3,C60=$G$4,B60*$H$4)</f>
        <v>16</v>
      </c>
    </row>
    <row r="61" spans="1:4" x14ac:dyDescent="0.25">
      <c r="A61" s="2" t="s">
        <v>62</v>
      </c>
      <c r="B61" s="8">
        <v>5</v>
      </c>
      <c r="C61" cm="1">
        <f t="array" ref="C61">_xlfn.IFS(LEFT(A61,1)&lt;="F",$G$2,LEFT(A61,1)&lt;="M",$G$3,LEFT(A61,1)&lt;="Z",$G$4)</f>
        <v>0</v>
      </c>
      <c r="D61" s="3" cm="1">
        <f t="array" ref="D61">_xlfn.IFS(C61=$G$2,B61*$H$2,C61=$G$3,B61*$H$3,C61=$G$4,B61*$H$4)</f>
        <v>20</v>
      </c>
    </row>
    <row r="62" spans="1:4" x14ac:dyDescent="0.25">
      <c r="A62" s="2" t="s">
        <v>63</v>
      </c>
      <c r="B62" s="8">
        <v>6</v>
      </c>
      <c r="C62" cm="1">
        <f t="array" ref="C62">_xlfn.IFS(LEFT(A62,1)&lt;="F",$G$2,LEFT(A62,1)&lt;="M",$G$3,LEFT(A62,1)&lt;="Z",$G$4)</f>
        <v>0</v>
      </c>
      <c r="D62" s="3" cm="1">
        <f t="array" ref="D62">_xlfn.IFS(C62=$G$2,B62*$H$2,C62=$G$3,B62*$H$3,C62=$G$4,B62*$H$4)</f>
        <v>24</v>
      </c>
    </row>
    <row r="63" spans="1:4" x14ac:dyDescent="0.25">
      <c r="A63" s="2" t="s">
        <v>64</v>
      </c>
      <c r="B63" s="8">
        <v>7</v>
      </c>
      <c r="C63" cm="1">
        <f t="array" ref="C63">_xlfn.IFS(LEFT(A63,1)&lt;="F",$G$2,LEFT(A63,1)&lt;="M",$G$3,LEFT(A63,1)&lt;="Z",$G$4)</f>
        <v>1</v>
      </c>
      <c r="D63" s="3" cm="1">
        <f t="array" ref="D63">_xlfn.IFS(C63=$G$2,B63*$H$2,C63=$G$3,B63*$H$3,C63=$G$4,B63*$H$4)</f>
        <v>21</v>
      </c>
    </row>
    <row r="64" spans="1:4" x14ac:dyDescent="0.25">
      <c r="A64" s="2" t="s">
        <v>65</v>
      </c>
      <c r="B64" s="8">
        <v>8</v>
      </c>
      <c r="C64" cm="1">
        <f t="array" ref="C64">_xlfn.IFS(LEFT(A64,1)&lt;="F",$G$2,LEFT(A64,1)&lt;="M",$G$3,LEFT(A64,1)&lt;="Z",$G$4)</f>
        <v>1</v>
      </c>
      <c r="D64" s="3" cm="1">
        <f t="array" ref="D64">_xlfn.IFS(C64=$G$2,B64*$H$2,C64=$G$3,B64*$H$3,C64=$G$4,B64*$H$4)</f>
        <v>24</v>
      </c>
    </row>
    <row r="65" spans="1:4" x14ac:dyDescent="0.25">
      <c r="A65" s="2" t="s">
        <v>66</v>
      </c>
      <c r="B65" s="8">
        <v>9</v>
      </c>
      <c r="C65" cm="1">
        <f t="array" ref="C65">_xlfn.IFS(LEFT(A65,1)&lt;="F",$G$2,LEFT(A65,1)&lt;="M",$G$3,LEFT(A65,1)&lt;="Z",$G$4)</f>
        <v>1</v>
      </c>
      <c r="D65" s="3" cm="1">
        <f t="array" ref="D65">_xlfn.IFS(C65=$G$2,B65*$H$2,C65=$G$3,B65*$H$3,C65=$G$4,B65*$H$4)</f>
        <v>27</v>
      </c>
    </row>
    <row r="66" spans="1:4" x14ac:dyDescent="0.25">
      <c r="A66" s="2" t="s">
        <v>67</v>
      </c>
      <c r="B66" s="8">
        <v>10</v>
      </c>
      <c r="C66" cm="1">
        <f t="array" ref="C66">_xlfn.IFS(LEFT(A66,1)&lt;="F",$G$2,LEFT(A66,1)&lt;="M",$G$3,LEFT(A66,1)&lt;="Z",$G$4)</f>
        <v>1</v>
      </c>
      <c r="D66" s="3" cm="1">
        <f t="array" ref="D66">_xlfn.IFS(C66=$G$2,B66*$H$2,C66=$G$3,B66*$H$3,C66=$G$4,B66*$H$4)</f>
        <v>30</v>
      </c>
    </row>
    <row r="67" spans="1:4" x14ac:dyDescent="0.25">
      <c r="A67" s="2" t="s">
        <v>68</v>
      </c>
      <c r="B67" s="8">
        <v>0.5</v>
      </c>
      <c r="C67" cm="1">
        <f t="array" ref="C67">_xlfn.IFS(LEFT(A67,1)&lt;="F",$G$2,LEFT(A67,1)&lt;="M",$G$3,LEFT(A67,1)&lt;="Z",$G$4)</f>
        <v>2</v>
      </c>
      <c r="D67" s="3" cm="1">
        <f t="array" ref="D67">_xlfn.IFS(C67=$G$2,B67*$H$2,C67=$G$3,B67*$H$3,C67=$G$4,B67*$H$4)</f>
        <v>1</v>
      </c>
    </row>
    <row r="68" spans="1:4" x14ac:dyDescent="0.25">
      <c r="A68" s="2" t="s">
        <v>69</v>
      </c>
      <c r="B68" s="8">
        <v>1</v>
      </c>
      <c r="C68" cm="1">
        <f t="array" ref="C68">_xlfn.IFS(LEFT(A68,1)&lt;="F",$G$2,LEFT(A68,1)&lt;="M",$G$3,LEFT(A68,1)&lt;="Z",$G$4)</f>
        <v>2</v>
      </c>
      <c r="D68" s="3" cm="1">
        <f t="array" ref="D68">_xlfn.IFS(C68=$G$2,B68*$H$2,C68=$G$3,B68*$H$3,C68=$G$4,B68*$H$4)</f>
        <v>2</v>
      </c>
    </row>
    <row r="69" spans="1:4" x14ac:dyDescent="0.25">
      <c r="A69" s="2" t="s">
        <v>70</v>
      </c>
      <c r="B69" s="8">
        <v>2</v>
      </c>
      <c r="C69" cm="1">
        <f t="array" ref="C69">_xlfn.IFS(LEFT(A69,1)&lt;="F",$G$2,LEFT(A69,1)&lt;="M",$G$3,LEFT(A69,1)&lt;="Z",$G$4)</f>
        <v>2</v>
      </c>
      <c r="D69" s="3" cm="1">
        <f t="array" ref="D69">_xlfn.IFS(C69=$G$2,B69*$H$2,C69=$G$3,B69*$H$3,C69=$G$4,B69*$H$4)</f>
        <v>4</v>
      </c>
    </row>
    <row r="70" spans="1:4" x14ac:dyDescent="0.25">
      <c r="A70" s="2" t="s">
        <v>71</v>
      </c>
      <c r="B70" s="8">
        <v>3</v>
      </c>
      <c r="C70" cm="1">
        <f t="array" ref="C70">_xlfn.IFS(LEFT(A70,1)&lt;="F",$G$2,LEFT(A70,1)&lt;="M",$G$3,LEFT(A70,1)&lt;="Z",$G$4)</f>
        <v>2</v>
      </c>
      <c r="D70" s="3" cm="1">
        <f t="array" ref="D70">_xlfn.IFS(C70=$G$2,B70*$H$2,C70=$G$3,B70*$H$3,C70=$G$4,B70*$H$4)</f>
        <v>6</v>
      </c>
    </row>
    <row r="71" spans="1:4" x14ac:dyDescent="0.25">
      <c r="A71" s="2" t="s">
        <v>72</v>
      </c>
      <c r="B71" s="8">
        <v>4</v>
      </c>
      <c r="C71" cm="1">
        <f t="array" ref="C71">_xlfn.IFS(LEFT(A71,1)&lt;="F",$G$2,LEFT(A71,1)&lt;="M",$G$3,LEFT(A71,1)&lt;="Z",$G$4)</f>
        <v>2</v>
      </c>
      <c r="D71" s="3" cm="1">
        <f t="array" ref="D71">_xlfn.IFS(C71=$G$2,B71*$H$2,C71=$G$3,B71*$H$3,C71=$G$4,B71*$H$4)</f>
        <v>8</v>
      </c>
    </row>
    <row r="72" spans="1:4" x14ac:dyDescent="0.25">
      <c r="A72" s="2" t="s">
        <v>73</v>
      </c>
      <c r="B72" s="8">
        <v>5</v>
      </c>
      <c r="C72" cm="1">
        <f t="array" ref="C72">_xlfn.IFS(LEFT(A72,1)&lt;="F",$G$2,LEFT(A72,1)&lt;="M",$G$3,LEFT(A72,1)&lt;="Z",$G$4)</f>
        <v>2</v>
      </c>
      <c r="D72" s="3" cm="1">
        <f t="array" ref="D72">_xlfn.IFS(C72=$G$2,B72*$H$2,C72=$G$3,B72*$H$3,C72=$G$4,B72*$H$4)</f>
        <v>10</v>
      </c>
    </row>
    <row r="73" spans="1:4" x14ac:dyDescent="0.25">
      <c r="A73" s="2" t="s">
        <v>74</v>
      </c>
      <c r="B73" s="8">
        <v>6</v>
      </c>
      <c r="C73" cm="1">
        <f t="array" ref="C73">_xlfn.IFS(LEFT(A73,1)&lt;="F",$G$2,LEFT(A73,1)&lt;="M",$G$3,LEFT(A73,1)&lt;="Z",$G$4)</f>
        <v>0</v>
      </c>
      <c r="D73" s="3" cm="1">
        <f t="array" ref="D73">_xlfn.IFS(C73=$G$2,B73*$H$2,C73=$G$3,B73*$H$3,C73=$G$4,B73*$H$4)</f>
        <v>24</v>
      </c>
    </row>
    <row r="74" spans="1:4" x14ac:dyDescent="0.25">
      <c r="A74" s="2" t="s">
        <v>75</v>
      </c>
      <c r="B74" s="8">
        <v>7</v>
      </c>
      <c r="C74" cm="1">
        <f t="array" ref="C74">_xlfn.IFS(LEFT(A74,1)&lt;="F",$G$2,LEFT(A74,1)&lt;="M",$G$3,LEFT(A74,1)&lt;="Z",$G$4)</f>
        <v>0</v>
      </c>
      <c r="D74" s="3" cm="1">
        <f t="array" ref="D74">_xlfn.IFS(C74=$G$2,B74*$H$2,C74=$G$3,B74*$H$3,C74=$G$4,B74*$H$4)</f>
        <v>28</v>
      </c>
    </row>
    <row r="75" spans="1:4" x14ac:dyDescent="0.25">
      <c r="A75" s="2" t="s">
        <v>76</v>
      </c>
      <c r="B75" s="8">
        <v>8</v>
      </c>
      <c r="C75" cm="1">
        <f t="array" ref="C75">_xlfn.IFS(LEFT(A75,1)&lt;="F",$G$2,LEFT(A75,1)&lt;="M",$G$3,LEFT(A75,1)&lt;="Z",$G$4)</f>
        <v>0</v>
      </c>
      <c r="D75" s="3" cm="1">
        <f t="array" ref="D75">_xlfn.IFS(C75=$G$2,B75*$H$2,C75=$G$3,B75*$H$3,C75=$G$4,B75*$H$4)</f>
        <v>32</v>
      </c>
    </row>
    <row r="76" spans="1:4" x14ac:dyDescent="0.25">
      <c r="A76" s="2" t="s">
        <v>77</v>
      </c>
      <c r="B76" s="8">
        <v>9</v>
      </c>
      <c r="C76" cm="1">
        <f t="array" ref="C76">_xlfn.IFS(LEFT(A76,1)&lt;="F",$G$2,LEFT(A76,1)&lt;="M",$G$3,LEFT(A76,1)&lt;="Z",$G$4)</f>
        <v>1</v>
      </c>
      <c r="D76" s="3" cm="1">
        <f t="array" ref="D76">_xlfn.IFS(C76=$G$2,B76*$H$2,C76=$G$3,B76*$H$3,C76=$G$4,B76*$H$4)</f>
        <v>27</v>
      </c>
    </row>
    <row r="77" spans="1:4" x14ac:dyDescent="0.25">
      <c r="A77" s="2" t="s">
        <v>78</v>
      </c>
      <c r="B77" s="8">
        <v>10</v>
      </c>
      <c r="C77" cm="1">
        <f t="array" ref="C77">_xlfn.IFS(LEFT(A77,1)&lt;="F",$G$2,LEFT(A77,1)&lt;="M",$G$3,LEFT(A77,1)&lt;="Z",$G$4)</f>
        <v>1</v>
      </c>
      <c r="D77" s="3" cm="1">
        <f t="array" ref="D77">_xlfn.IFS(C77=$G$2,B77*$H$2,C77=$G$3,B77*$H$3,C77=$G$4,B77*$H$4)</f>
        <v>30</v>
      </c>
    </row>
    <row r="78" spans="1:4" x14ac:dyDescent="0.25">
      <c r="A78" s="2" t="s">
        <v>79</v>
      </c>
      <c r="B78" s="8">
        <v>0.5</v>
      </c>
      <c r="C78" cm="1">
        <f t="array" ref="C78">_xlfn.IFS(LEFT(A78,1)&lt;="F",$G$2,LEFT(A78,1)&lt;="M",$G$3,LEFT(A78,1)&lt;="Z",$G$4)</f>
        <v>1</v>
      </c>
      <c r="D78" s="3" cm="1">
        <f t="array" ref="D78">_xlfn.IFS(C78=$G$2,B78*$H$2,C78=$G$3,B78*$H$3,C78=$G$4,B78*$H$4)</f>
        <v>1.5</v>
      </c>
    </row>
    <row r="79" spans="1:4" x14ac:dyDescent="0.25">
      <c r="A79" s="2" t="s">
        <v>80</v>
      </c>
      <c r="B79" s="8">
        <v>1</v>
      </c>
      <c r="C79" cm="1">
        <f t="array" ref="C79">_xlfn.IFS(LEFT(A79,1)&lt;="F",$G$2,LEFT(A79,1)&lt;="M",$G$3,LEFT(A79,1)&lt;="Z",$G$4)</f>
        <v>1</v>
      </c>
      <c r="D79" s="3" cm="1">
        <f t="array" ref="D79">_xlfn.IFS(C79=$G$2,B79*$H$2,C79=$G$3,B79*$H$3,C79=$G$4,B79*$H$4)</f>
        <v>3</v>
      </c>
    </row>
    <row r="80" spans="1:4" x14ac:dyDescent="0.25">
      <c r="A80" s="2" t="s">
        <v>81</v>
      </c>
      <c r="B80" s="8">
        <v>2</v>
      </c>
      <c r="C80" cm="1">
        <f t="array" ref="C80">_xlfn.IFS(LEFT(A80,1)&lt;="F",$G$2,LEFT(A80,1)&lt;="M",$G$3,LEFT(A80,1)&lt;="Z",$G$4)</f>
        <v>2</v>
      </c>
      <c r="D80" s="3" cm="1">
        <f t="array" ref="D80">_xlfn.IFS(C80=$G$2,B80*$H$2,C80=$G$3,B80*$H$3,C80=$G$4,B80*$H$4)</f>
        <v>4</v>
      </c>
    </row>
    <row r="81" spans="1:4" x14ac:dyDescent="0.25">
      <c r="A81" s="2" t="s">
        <v>82</v>
      </c>
      <c r="B81" s="8">
        <v>3</v>
      </c>
      <c r="C81" cm="1">
        <f t="array" ref="C81">_xlfn.IFS(LEFT(A81,1)&lt;="F",$G$2,LEFT(A81,1)&lt;="M",$G$3,LEFT(A81,1)&lt;="Z",$G$4)</f>
        <v>2</v>
      </c>
      <c r="D81" s="3" cm="1">
        <f t="array" ref="D81">_xlfn.IFS(C81=$G$2,B81*$H$2,C81=$G$3,B81*$H$3,C81=$G$4,B81*$H$4)</f>
        <v>6</v>
      </c>
    </row>
    <row r="82" spans="1:4" x14ac:dyDescent="0.25">
      <c r="A82" s="2" t="s">
        <v>83</v>
      </c>
      <c r="B82" s="8">
        <v>4</v>
      </c>
      <c r="C82" cm="1">
        <f t="array" ref="C82">_xlfn.IFS(LEFT(A82,1)&lt;="F",$G$2,LEFT(A82,1)&lt;="M",$G$3,LEFT(A82,1)&lt;="Z",$G$4)</f>
        <v>2</v>
      </c>
      <c r="D82" s="3" cm="1">
        <f t="array" ref="D82">_xlfn.IFS(C82=$G$2,B82*$H$2,C82=$G$3,B82*$H$3,C82=$G$4,B82*$H$4)</f>
        <v>8</v>
      </c>
    </row>
    <row r="83" spans="1:4" x14ac:dyDescent="0.25">
      <c r="A83" s="2" t="s">
        <v>84</v>
      </c>
      <c r="B83" s="8">
        <v>5</v>
      </c>
      <c r="C83" cm="1">
        <f t="array" ref="C83">_xlfn.IFS(LEFT(A83,1)&lt;="F",$G$2,LEFT(A83,1)&lt;="M",$G$3,LEFT(A83,1)&lt;="Z",$G$4)</f>
        <v>2</v>
      </c>
      <c r="D83" s="3" cm="1">
        <f t="array" ref="D83">_xlfn.IFS(C83=$G$2,B83*$H$2,C83=$G$3,B83*$H$3,C83=$G$4,B83*$H$4)</f>
        <v>10</v>
      </c>
    </row>
    <row r="84" spans="1:4" x14ac:dyDescent="0.25">
      <c r="A84" s="2" t="s">
        <v>85</v>
      </c>
      <c r="B84" s="8">
        <v>6</v>
      </c>
      <c r="C84" cm="1">
        <f t="array" ref="C84">_xlfn.IFS(LEFT(A84,1)&lt;="F",$G$2,LEFT(A84,1)&lt;="M",$G$3,LEFT(A84,1)&lt;="Z",$G$4)</f>
        <v>2</v>
      </c>
      <c r="D84" s="3" cm="1">
        <f t="array" ref="D84">_xlfn.IFS(C84=$G$2,B84*$H$2,C84=$G$3,B84*$H$3,C84=$G$4,B84*$H$4)</f>
        <v>12</v>
      </c>
    </row>
    <row r="85" spans="1:4" x14ac:dyDescent="0.25">
      <c r="A85" s="2" t="s">
        <v>86</v>
      </c>
      <c r="B85" s="8">
        <v>7</v>
      </c>
      <c r="C85" cm="1">
        <f t="array" ref="C85">_xlfn.IFS(LEFT(A85,1)&lt;="F",$G$2,LEFT(A85,1)&lt;="M",$G$3,LEFT(A85,1)&lt;="Z",$G$4)</f>
        <v>2</v>
      </c>
      <c r="D85" s="3" cm="1">
        <f t="array" ref="D85">_xlfn.IFS(C85=$G$2,B85*$H$2,C85=$G$3,B85*$H$3,C85=$G$4,B85*$H$4)</f>
        <v>14</v>
      </c>
    </row>
    <row r="86" spans="1:4" x14ac:dyDescent="0.25">
      <c r="A86" s="2" t="s">
        <v>87</v>
      </c>
      <c r="B86" s="8">
        <v>8</v>
      </c>
      <c r="C86" cm="1">
        <f t="array" ref="C86">_xlfn.IFS(LEFT(A86,1)&lt;="F",$G$2,LEFT(A86,1)&lt;="M",$G$3,LEFT(A86,1)&lt;="Z",$G$4)</f>
        <v>0</v>
      </c>
      <c r="D86" s="3" cm="1">
        <f t="array" ref="D86">_xlfn.IFS(C86=$G$2,B86*$H$2,C86=$G$3,B86*$H$3,C86=$G$4,B86*$H$4)</f>
        <v>32</v>
      </c>
    </row>
    <row r="87" spans="1:4" x14ac:dyDescent="0.25">
      <c r="A87" s="2" t="s">
        <v>88</v>
      </c>
      <c r="B87" s="8">
        <v>9</v>
      </c>
      <c r="C87" cm="1">
        <f t="array" ref="C87">_xlfn.IFS(LEFT(A87,1)&lt;="F",$G$2,LEFT(A87,1)&lt;="M",$G$3,LEFT(A87,1)&lt;="Z",$G$4)</f>
        <v>0</v>
      </c>
      <c r="D87" s="3" cm="1">
        <f t="array" ref="D87">_xlfn.IFS(C87=$G$2,B87*$H$2,C87=$G$3,B87*$H$3,C87=$G$4,B87*$H$4)</f>
        <v>36</v>
      </c>
    </row>
    <row r="88" spans="1:4" x14ac:dyDescent="0.25">
      <c r="A88" s="2" t="s">
        <v>89</v>
      </c>
      <c r="B88" s="8">
        <v>10</v>
      </c>
      <c r="C88" cm="1">
        <f t="array" ref="C88">_xlfn.IFS(LEFT(A88,1)&lt;="F",$G$2,LEFT(A88,1)&lt;="M",$G$3,LEFT(A88,1)&lt;="Z",$G$4)</f>
        <v>0</v>
      </c>
      <c r="D88" s="3" cm="1">
        <f t="array" ref="D88">_xlfn.IFS(C88=$G$2,B88*$H$2,C88=$G$3,B88*$H$3,C88=$G$4,B88*$H$4)</f>
        <v>40</v>
      </c>
    </row>
    <row r="89" spans="1:4" x14ac:dyDescent="0.25">
      <c r="A89" s="2" t="s">
        <v>90</v>
      </c>
      <c r="B89" s="8">
        <v>0.5</v>
      </c>
      <c r="C89" cm="1">
        <f t="array" ref="C89">_xlfn.IFS(LEFT(A89,1)&lt;="F",$G$2,LEFT(A89,1)&lt;="M",$G$3,LEFT(A89,1)&lt;="Z",$G$4)</f>
        <v>1</v>
      </c>
      <c r="D89" s="3" cm="1">
        <f t="array" ref="D89">_xlfn.IFS(C89=$G$2,B89*$H$2,C89=$G$3,B89*$H$3,C89=$G$4,B89*$H$4)</f>
        <v>1.5</v>
      </c>
    </row>
    <row r="90" spans="1:4" x14ac:dyDescent="0.25">
      <c r="A90" s="2" t="s">
        <v>91</v>
      </c>
      <c r="B90" s="8">
        <v>1</v>
      </c>
      <c r="C90" cm="1">
        <f t="array" ref="C90">_xlfn.IFS(LEFT(A90,1)&lt;="F",$G$2,LEFT(A90,1)&lt;="M",$G$3,LEFT(A90,1)&lt;="Z",$G$4)</f>
        <v>1</v>
      </c>
      <c r="D90" s="3" cm="1">
        <f t="array" ref="D90">_xlfn.IFS(C90=$G$2,B90*$H$2,C90=$G$3,B90*$H$3,C90=$G$4,B90*$H$4)</f>
        <v>3</v>
      </c>
    </row>
    <row r="91" spans="1:4" x14ac:dyDescent="0.25">
      <c r="A91" s="2" t="s">
        <v>92</v>
      </c>
      <c r="B91" s="8">
        <v>2</v>
      </c>
      <c r="C91" cm="1">
        <f t="array" ref="C91">_xlfn.IFS(LEFT(A91,1)&lt;="F",$G$2,LEFT(A91,1)&lt;="M",$G$3,LEFT(A91,1)&lt;="Z",$G$4)</f>
        <v>1</v>
      </c>
      <c r="D91" s="3" cm="1">
        <f t="array" ref="D91">_xlfn.IFS(C91=$G$2,B91*$H$2,C91=$G$3,B91*$H$3,C91=$G$4,B91*$H$4)</f>
        <v>6</v>
      </c>
    </row>
    <row r="92" spans="1:4" x14ac:dyDescent="0.25">
      <c r="A92" s="2" t="s">
        <v>93</v>
      </c>
      <c r="B92" s="8">
        <v>3</v>
      </c>
      <c r="C92" cm="1">
        <f t="array" ref="C92">_xlfn.IFS(LEFT(A92,1)&lt;="F",$G$2,LEFT(A92,1)&lt;="M",$G$3,LEFT(A92,1)&lt;="Z",$G$4)</f>
        <v>1</v>
      </c>
      <c r="D92" s="3" cm="1">
        <f t="array" ref="D92">_xlfn.IFS(C92=$G$2,B92*$H$2,C92=$G$3,B92*$H$3,C92=$G$4,B92*$H$4)</f>
        <v>9</v>
      </c>
    </row>
    <row r="93" spans="1:4" x14ac:dyDescent="0.25">
      <c r="A93" s="2" t="s">
        <v>94</v>
      </c>
      <c r="B93" s="8">
        <v>4</v>
      </c>
      <c r="C93" cm="1">
        <f t="array" ref="C93">_xlfn.IFS(LEFT(A93,1)&lt;="F",$G$2,LEFT(A93,1)&lt;="M",$G$3,LEFT(A93,1)&lt;="Z",$G$4)</f>
        <v>2</v>
      </c>
      <c r="D93" s="3" cm="1">
        <f t="array" ref="D93">_xlfn.IFS(C93=$G$2,B93*$H$2,C93=$G$3,B93*$H$3,C93=$G$4,B93*$H$4)</f>
        <v>8</v>
      </c>
    </row>
    <row r="94" spans="1:4" x14ac:dyDescent="0.25">
      <c r="A94" s="2" t="s">
        <v>95</v>
      </c>
      <c r="B94" s="8">
        <v>5</v>
      </c>
      <c r="C94" cm="1">
        <f t="array" ref="C94">_xlfn.IFS(LEFT(A94,1)&lt;="F",$G$2,LEFT(A94,1)&lt;="M",$G$3,LEFT(A94,1)&lt;="Z",$G$4)</f>
        <v>2</v>
      </c>
      <c r="D94" s="3" cm="1">
        <f t="array" ref="D94">_xlfn.IFS(C94=$G$2,B94*$H$2,C94=$G$3,B94*$H$3,C94=$G$4,B94*$H$4)</f>
        <v>10</v>
      </c>
    </row>
    <row r="95" spans="1:4" x14ac:dyDescent="0.25">
      <c r="A95" s="2" t="s">
        <v>96</v>
      </c>
      <c r="B95" s="8">
        <v>6</v>
      </c>
      <c r="C95" cm="1">
        <f t="array" ref="C95">_xlfn.IFS(LEFT(A95,1)&lt;="F",$G$2,LEFT(A95,1)&lt;="M",$G$3,LEFT(A95,1)&lt;="Z",$G$4)</f>
        <v>2</v>
      </c>
      <c r="D95" s="3" cm="1">
        <f t="array" ref="D95">_xlfn.IFS(C95=$G$2,B95*$H$2,C95=$G$3,B95*$H$3,C95=$G$4,B95*$H$4)</f>
        <v>12</v>
      </c>
    </row>
    <row r="96" spans="1:4" x14ac:dyDescent="0.25">
      <c r="A96" s="2" t="s">
        <v>97</v>
      </c>
      <c r="B96" s="8">
        <v>7</v>
      </c>
      <c r="C96" cm="1">
        <f t="array" ref="C96">_xlfn.IFS(LEFT(A96,1)&lt;="F",$G$2,LEFT(A96,1)&lt;="M",$G$3,LEFT(A96,1)&lt;="Z",$G$4)</f>
        <v>2</v>
      </c>
      <c r="D96" s="3" cm="1">
        <f t="array" ref="D96">_xlfn.IFS(C96=$G$2,B96*$H$2,C96=$G$3,B96*$H$3,C96=$G$4,B96*$H$4)</f>
        <v>14</v>
      </c>
    </row>
    <row r="97" spans="1:4" x14ac:dyDescent="0.25">
      <c r="A97" s="2" t="s">
        <v>98</v>
      </c>
      <c r="B97" s="8">
        <v>8</v>
      </c>
      <c r="C97" cm="1">
        <f t="array" ref="C97">_xlfn.IFS(LEFT(A97,1)&lt;="F",$G$2,LEFT(A97,1)&lt;="M",$G$3,LEFT(A97,1)&lt;="Z",$G$4)</f>
        <v>2</v>
      </c>
      <c r="D97" s="3" cm="1">
        <f t="array" ref="D97">_xlfn.IFS(C97=$G$2,B97*$H$2,C97=$G$3,B97*$H$3,C97=$G$4,B97*$H$4)</f>
        <v>16</v>
      </c>
    </row>
    <row r="98" spans="1:4" x14ac:dyDescent="0.25">
      <c r="A98" s="2" t="s">
        <v>99</v>
      </c>
      <c r="B98" s="8">
        <v>9</v>
      </c>
      <c r="C98" cm="1">
        <f t="array" ref="C98">_xlfn.IFS(LEFT(A98,1)&lt;="F",$G$2,LEFT(A98,1)&lt;="M",$G$3,LEFT(A98,1)&lt;="Z",$G$4)</f>
        <v>2</v>
      </c>
      <c r="D98" s="3" cm="1">
        <f t="array" ref="D98">_xlfn.IFS(C98=$G$2,B98*$H$2,C98=$G$3,B98*$H$3,C98=$G$4,B98*$H$4)</f>
        <v>18</v>
      </c>
    </row>
    <row r="99" spans="1:4" x14ac:dyDescent="0.25">
      <c r="A99" s="2" t="s">
        <v>100</v>
      </c>
      <c r="B99" s="8">
        <v>10</v>
      </c>
      <c r="C99" cm="1">
        <f t="array" ref="C99">_xlfn.IFS(LEFT(A99,1)&lt;="F",$G$2,LEFT(A99,1)&lt;="M",$G$3,LEFT(A99,1)&lt;="Z",$G$4)</f>
        <v>0</v>
      </c>
      <c r="D99" s="3" cm="1">
        <f t="array" ref="D99">_xlfn.IFS(C99=$G$2,B99*$H$2,C99=$G$3,B99*$H$3,C99=$G$4,B99*$H$4)</f>
        <v>40</v>
      </c>
    </row>
    <row r="100" spans="1:4" x14ac:dyDescent="0.25">
      <c r="A100" s="2" t="s">
        <v>101</v>
      </c>
      <c r="B100" s="8">
        <v>0.5</v>
      </c>
      <c r="C100" cm="1">
        <f t="array" ref="C100">_xlfn.IFS(LEFT(A100,1)&lt;="F",$G$2,LEFT(A100,1)&lt;="M",$G$3,LEFT(A100,1)&lt;="Z",$G$4)</f>
        <v>0</v>
      </c>
      <c r="D100" s="3" cm="1">
        <f t="array" ref="D100">_xlfn.IFS(C100=$G$2,B100*$H$2,C100=$G$3,B100*$H$3,C100=$G$4,B100*$H$4)</f>
        <v>2</v>
      </c>
    </row>
    <row r="101" spans="1:4" x14ac:dyDescent="0.25">
      <c r="A101" s="2" t="s">
        <v>102</v>
      </c>
      <c r="B101" s="8">
        <v>1</v>
      </c>
      <c r="C101" cm="1">
        <f t="array" ref="C101">_xlfn.IFS(LEFT(A101,1)&lt;="F",$G$2,LEFT(A101,1)&lt;="M",$G$3,LEFT(A101,1)&lt;="Z",$G$4)</f>
        <v>0</v>
      </c>
      <c r="D101" s="3" cm="1">
        <f t="array" ref="D101">_xlfn.IFS(C101=$G$2,B101*$H$2,C101=$G$3,B101*$H$3,C101=$G$4,B101*$H$4)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7"/>
  <sheetViews>
    <sheetView topLeftCell="A16" workbookViewId="0">
      <selection activeCell="G2" sqref="G2:G6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  <col min="4" max="4" width="22.77734375" customWidth="1"/>
    <col min="5" max="5" width="13.33203125" bestFit="1" customWidth="1"/>
    <col min="6" max="6" width="15.21875" bestFit="1" customWidth="1"/>
  </cols>
  <sheetData>
    <row r="1" spans="1:26" x14ac:dyDescent="0.25">
      <c r="A1" s="1" t="s">
        <v>103</v>
      </c>
      <c r="B1" s="1" t="s">
        <v>104</v>
      </c>
      <c r="C1" s="1" t="s">
        <v>3</v>
      </c>
      <c r="D1" s="1"/>
      <c r="E1" s="1" t="s">
        <v>111</v>
      </c>
      <c r="F1" s="1" t="s">
        <v>112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105</v>
      </c>
      <c r="B2" s="2">
        <v>55</v>
      </c>
      <c r="D2" s="9" t="s">
        <v>105</v>
      </c>
      <c r="E2">
        <f>COUNTIF($A$2:$A$47,D2)</f>
        <v>11</v>
      </c>
      <c r="F2">
        <f>SUMIF($A$2:$A$47,D2,$B$2:$B$47)</f>
        <v>525</v>
      </c>
      <c r="G2">
        <f>SUMIFS($C$2:$C$47,$A$2:$A$47,D2,$B$2:$B$47,"&gt;80")</f>
        <v>0</v>
      </c>
    </row>
    <row r="3" spans="1:26" x14ac:dyDescent="0.25">
      <c r="A3" s="2" t="s">
        <v>106</v>
      </c>
      <c r="B3" s="2">
        <v>70</v>
      </c>
      <c r="C3" s="2">
        <v>80</v>
      </c>
      <c r="D3" s="9" t="s">
        <v>107</v>
      </c>
      <c r="E3">
        <f t="shared" ref="E3:E6" si="0">COUNTIF($A$2:$A$47,D3)</f>
        <v>11</v>
      </c>
      <c r="F3">
        <f>SUMIF($A$2:$A$47,D3,$B$2:$B$47)</f>
        <v>555</v>
      </c>
      <c r="G3">
        <f t="shared" ref="G3:G6" si="1">SUMIFS($C$2:$C$47,$A$2:$A$47,D3,$B$2:$B$47,"&gt;80")</f>
        <v>0</v>
      </c>
    </row>
    <row r="4" spans="1:26" x14ac:dyDescent="0.25">
      <c r="A4" s="2" t="s">
        <v>107</v>
      </c>
      <c r="B4" s="2">
        <v>40</v>
      </c>
      <c r="C4" s="2">
        <v>60</v>
      </c>
      <c r="D4" s="9" t="s">
        <v>106</v>
      </c>
      <c r="E4">
        <f t="shared" si="0"/>
        <v>14</v>
      </c>
      <c r="F4">
        <f t="shared" ref="F4:F6" si="2">SUMIF($A$2:$A$47,D4,$B$2:$B$47)</f>
        <v>755</v>
      </c>
      <c r="G4">
        <f t="shared" si="1"/>
        <v>75</v>
      </c>
    </row>
    <row r="5" spans="1:26" x14ac:dyDescent="0.25">
      <c r="A5" s="2" t="s">
        <v>105</v>
      </c>
      <c r="B5" s="2">
        <v>20</v>
      </c>
      <c r="C5" s="2">
        <v>100</v>
      </c>
      <c r="D5" s="9" t="s">
        <v>108</v>
      </c>
      <c r="E5">
        <f t="shared" si="0"/>
        <v>7</v>
      </c>
      <c r="F5">
        <f t="shared" si="2"/>
        <v>380</v>
      </c>
      <c r="G5">
        <f t="shared" si="1"/>
        <v>30</v>
      </c>
    </row>
    <row r="6" spans="1:26" x14ac:dyDescent="0.25">
      <c r="A6" s="2" t="s">
        <v>108</v>
      </c>
      <c r="B6" s="2">
        <v>90</v>
      </c>
      <c r="C6" s="2">
        <v>30</v>
      </c>
      <c r="D6" s="9" t="s">
        <v>109</v>
      </c>
      <c r="E6">
        <f t="shared" si="0"/>
        <v>3</v>
      </c>
      <c r="F6">
        <f t="shared" si="2"/>
        <v>160</v>
      </c>
      <c r="G6">
        <f t="shared" si="1"/>
        <v>0</v>
      </c>
    </row>
    <row r="7" spans="1:26" x14ac:dyDescent="0.25">
      <c r="A7" s="2" t="s">
        <v>106</v>
      </c>
      <c r="B7" s="2">
        <v>50</v>
      </c>
      <c r="C7" s="2">
        <v>40</v>
      </c>
    </row>
    <row r="8" spans="1:26" x14ac:dyDescent="0.25">
      <c r="A8" s="2" t="s">
        <v>107</v>
      </c>
      <c r="B8" s="2">
        <v>60</v>
      </c>
      <c r="C8" s="2">
        <v>55</v>
      </c>
    </row>
    <row r="9" spans="1:26" x14ac:dyDescent="0.25">
      <c r="A9" s="2" t="s">
        <v>105</v>
      </c>
      <c r="B9" s="2">
        <v>45</v>
      </c>
    </row>
    <row r="10" spans="1:26" x14ac:dyDescent="0.25">
      <c r="A10" s="2" t="s">
        <v>106</v>
      </c>
      <c r="B10" s="2">
        <v>25</v>
      </c>
      <c r="C10" s="2">
        <v>85</v>
      </c>
    </row>
    <row r="11" spans="1:26" x14ac:dyDescent="0.25">
      <c r="A11" s="2" t="s">
        <v>108</v>
      </c>
      <c r="B11" s="2">
        <v>35</v>
      </c>
      <c r="C11" s="2">
        <v>50</v>
      </c>
    </row>
    <row r="12" spans="1:26" x14ac:dyDescent="0.25">
      <c r="A12" s="2" t="s">
        <v>109</v>
      </c>
      <c r="B12" s="2">
        <v>60</v>
      </c>
      <c r="C12" s="2">
        <v>95</v>
      </c>
    </row>
    <row r="13" spans="1:26" x14ac:dyDescent="0.25">
      <c r="A13" s="2" t="s">
        <v>107</v>
      </c>
      <c r="B13" s="2">
        <v>80</v>
      </c>
    </row>
    <row r="14" spans="1:26" x14ac:dyDescent="0.25">
      <c r="A14" s="2" t="s">
        <v>106</v>
      </c>
      <c r="B14" s="2">
        <v>40</v>
      </c>
      <c r="C14" s="2">
        <v>45</v>
      </c>
    </row>
    <row r="15" spans="1:26" x14ac:dyDescent="0.25">
      <c r="A15" s="2" t="s">
        <v>105</v>
      </c>
      <c r="B15" s="2">
        <v>65</v>
      </c>
      <c r="C15" s="2">
        <v>65</v>
      </c>
    </row>
    <row r="16" spans="1:26" x14ac:dyDescent="0.25">
      <c r="A16" s="2" t="s">
        <v>107</v>
      </c>
      <c r="B16" s="2">
        <v>55</v>
      </c>
      <c r="C16" s="2">
        <v>30</v>
      </c>
    </row>
    <row r="17" spans="1:3" x14ac:dyDescent="0.25">
      <c r="A17" s="2" t="s">
        <v>108</v>
      </c>
      <c r="B17" s="2">
        <v>70</v>
      </c>
    </row>
    <row r="18" spans="1:3" x14ac:dyDescent="0.25">
      <c r="A18" s="2" t="s">
        <v>106</v>
      </c>
      <c r="B18" s="2">
        <v>45</v>
      </c>
      <c r="C18" s="2">
        <v>80</v>
      </c>
    </row>
    <row r="19" spans="1:3" x14ac:dyDescent="0.25">
      <c r="A19" s="2" t="s">
        <v>105</v>
      </c>
      <c r="B19" s="2">
        <v>25</v>
      </c>
      <c r="C19" s="2">
        <v>60</v>
      </c>
    </row>
    <row r="20" spans="1:3" x14ac:dyDescent="0.25">
      <c r="A20" s="2" t="s">
        <v>106</v>
      </c>
      <c r="B20" s="2">
        <v>35</v>
      </c>
    </row>
    <row r="21" spans="1:3" x14ac:dyDescent="0.25">
      <c r="A21" s="2" t="s">
        <v>107</v>
      </c>
      <c r="B21" s="2">
        <v>60</v>
      </c>
      <c r="C21" s="2">
        <v>30</v>
      </c>
    </row>
    <row r="22" spans="1:3" x14ac:dyDescent="0.25">
      <c r="A22" s="2" t="s">
        <v>105</v>
      </c>
      <c r="B22" s="2">
        <v>70</v>
      </c>
      <c r="C22" s="2">
        <v>40</v>
      </c>
    </row>
    <row r="23" spans="1:3" x14ac:dyDescent="0.25">
      <c r="A23" s="2" t="s">
        <v>106</v>
      </c>
      <c r="B23" s="2">
        <v>45</v>
      </c>
      <c r="C23" s="2">
        <v>55</v>
      </c>
    </row>
    <row r="24" spans="1:3" x14ac:dyDescent="0.25">
      <c r="A24" s="2" t="s">
        <v>108</v>
      </c>
      <c r="B24" s="2">
        <v>25</v>
      </c>
      <c r="C24" s="2">
        <v>70</v>
      </c>
    </row>
    <row r="25" spans="1:3" x14ac:dyDescent="0.25">
      <c r="A25" s="2" t="s">
        <v>109</v>
      </c>
      <c r="B25" s="2">
        <v>35</v>
      </c>
    </row>
    <row r="26" spans="1:3" x14ac:dyDescent="0.25">
      <c r="A26" s="2" t="s">
        <v>107</v>
      </c>
      <c r="B26" s="2">
        <v>60</v>
      </c>
      <c r="C26" s="2">
        <v>50</v>
      </c>
    </row>
    <row r="27" spans="1:3" x14ac:dyDescent="0.25">
      <c r="A27" s="2" t="s">
        <v>106</v>
      </c>
      <c r="B27" s="2">
        <v>80</v>
      </c>
      <c r="C27" s="2">
        <v>95</v>
      </c>
    </row>
    <row r="28" spans="1:3" x14ac:dyDescent="0.25">
      <c r="A28" s="2" t="s">
        <v>105</v>
      </c>
      <c r="B28" s="2">
        <v>40</v>
      </c>
      <c r="C28" s="2">
        <v>75</v>
      </c>
    </row>
    <row r="29" spans="1:3" x14ac:dyDescent="0.25">
      <c r="A29" s="2" t="s">
        <v>107</v>
      </c>
      <c r="B29" s="2">
        <v>65</v>
      </c>
      <c r="C29" s="2">
        <v>45</v>
      </c>
    </row>
    <row r="30" spans="1:3" x14ac:dyDescent="0.25">
      <c r="A30" s="2" t="s">
        <v>106</v>
      </c>
      <c r="B30" s="2">
        <v>55</v>
      </c>
      <c r="C30" s="2">
        <v>65</v>
      </c>
    </row>
    <row r="31" spans="1:3" x14ac:dyDescent="0.25">
      <c r="A31" s="2" t="s">
        <v>108</v>
      </c>
      <c r="B31" s="2">
        <v>70</v>
      </c>
      <c r="C31" s="2">
        <v>30</v>
      </c>
    </row>
    <row r="32" spans="1:3" x14ac:dyDescent="0.25">
      <c r="A32" s="2" t="s">
        <v>105</v>
      </c>
      <c r="B32" s="2">
        <v>45</v>
      </c>
    </row>
    <row r="33" spans="1:3" x14ac:dyDescent="0.25">
      <c r="A33" s="2" t="s">
        <v>106</v>
      </c>
      <c r="B33" s="2">
        <v>25</v>
      </c>
      <c r="C33" s="2">
        <v>80</v>
      </c>
    </row>
    <row r="34" spans="1:3" x14ac:dyDescent="0.25">
      <c r="A34" s="2" t="s">
        <v>107</v>
      </c>
      <c r="B34" s="2">
        <v>35</v>
      </c>
      <c r="C34" s="2">
        <v>60</v>
      </c>
    </row>
    <row r="35" spans="1:3" x14ac:dyDescent="0.25">
      <c r="A35" s="2" t="s">
        <v>105</v>
      </c>
      <c r="B35" s="2">
        <v>60</v>
      </c>
      <c r="C35" s="2">
        <v>100</v>
      </c>
    </row>
    <row r="36" spans="1:3" x14ac:dyDescent="0.25">
      <c r="A36" s="2" t="s">
        <v>106</v>
      </c>
      <c r="B36" s="2">
        <v>80</v>
      </c>
      <c r="C36" s="2">
        <v>30</v>
      </c>
    </row>
    <row r="37" spans="1:3" x14ac:dyDescent="0.25">
      <c r="A37" s="2" t="s">
        <v>108</v>
      </c>
      <c r="B37" s="2">
        <v>40</v>
      </c>
    </row>
    <row r="38" spans="1:3" x14ac:dyDescent="0.25">
      <c r="A38" s="2" t="s">
        <v>109</v>
      </c>
      <c r="B38" s="2">
        <v>65</v>
      </c>
      <c r="C38" s="2">
        <v>55</v>
      </c>
    </row>
    <row r="39" spans="1:3" x14ac:dyDescent="0.25">
      <c r="A39" s="2" t="s">
        <v>107</v>
      </c>
      <c r="B39" s="2">
        <v>55</v>
      </c>
      <c r="C39" s="2">
        <v>70</v>
      </c>
    </row>
    <row r="40" spans="1:3" x14ac:dyDescent="0.25">
      <c r="A40" s="2" t="s">
        <v>106</v>
      </c>
      <c r="B40" s="2">
        <v>70</v>
      </c>
      <c r="C40" s="2">
        <v>85</v>
      </c>
    </row>
    <row r="41" spans="1:3" x14ac:dyDescent="0.25">
      <c r="A41" s="2" t="s">
        <v>105</v>
      </c>
      <c r="B41" s="2">
        <v>40</v>
      </c>
      <c r="C41" s="2">
        <v>50</v>
      </c>
    </row>
    <row r="42" spans="1:3" x14ac:dyDescent="0.25">
      <c r="A42" s="2" t="s">
        <v>107</v>
      </c>
      <c r="B42" s="2">
        <v>20</v>
      </c>
      <c r="C42" s="2">
        <v>95</v>
      </c>
    </row>
    <row r="43" spans="1:3" x14ac:dyDescent="0.25">
      <c r="A43" s="2" t="s">
        <v>106</v>
      </c>
      <c r="B43" s="2">
        <v>90</v>
      </c>
      <c r="C43" s="2">
        <v>75</v>
      </c>
    </row>
    <row r="44" spans="1:3" x14ac:dyDescent="0.25">
      <c r="A44" s="2" t="s">
        <v>108</v>
      </c>
      <c r="B44" s="2">
        <v>50</v>
      </c>
      <c r="C44" s="2">
        <v>45</v>
      </c>
    </row>
    <row r="45" spans="1:3" x14ac:dyDescent="0.25">
      <c r="A45" s="2" t="s">
        <v>105</v>
      </c>
      <c r="B45" s="2">
        <v>60</v>
      </c>
      <c r="C45" s="2">
        <v>65</v>
      </c>
    </row>
    <row r="46" spans="1:3" x14ac:dyDescent="0.25">
      <c r="A46" s="2" t="s">
        <v>106</v>
      </c>
      <c r="B46" s="2">
        <v>45</v>
      </c>
    </row>
    <row r="47" spans="1:3" x14ac:dyDescent="0.25">
      <c r="A47" s="2" t="s">
        <v>107</v>
      </c>
      <c r="B47" s="2">
        <v>25</v>
      </c>
    </row>
  </sheetData>
  <autoFilter ref="A1:C47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Parcheggio</vt:lpstr>
      <vt:lpstr>Frutta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mattia montagner</cp:lastModifiedBy>
  <dcterms:modified xsi:type="dcterms:W3CDTF">2026-02-13T19:34:26Z</dcterms:modified>
</cp:coreProperties>
</file>