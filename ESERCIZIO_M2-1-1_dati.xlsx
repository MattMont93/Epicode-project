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mo\Desktop\Epicode\Esercizi\"/>
    </mc:Choice>
  </mc:AlternateContent>
  <xr:revisionPtr revIDLastSave="0" documentId="13_ncr:1_{26D0888E-A569-4E77-B5DD-457BE6D1E52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7" i="3" l="1"/>
  <c r="I8" i="3"/>
  <c r="I9" i="3"/>
  <c r="I10" i="3"/>
  <c r="I11" i="3"/>
  <c r="I12" i="3"/>
  <c r="I6" i="3"/>
  <c r="I3" i="3"/>
  <c r="I4" i="3"/>
  <c r="I5" i="3"/>
  <c r="I2" i="3"/>
  <c r="H7" i="3"/>
  <c r="H8" i="3"/>
  <c r="H9" i="3"/>
  <c r="H10" i="3"/>
  <c r="H11" i="3"/>
  <c r="H12" i="3"/>
  <c r="H6" i="3"/>
  <c r="H3" i="3"/>
  <c r="H4" i="3"/>
  <c r="H5" i="3"/>
  <c r="H2" i="3"/>
  <c r="C3" i="2"/>
  <c r="C4" i="2"/>
  <c r="C5" i="2"/>
  <c r="C6" i="2"/>
  <c r="C7" i="2"/>
  <c r="C8" i="2"/>
  <c r="C2" i="2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</calcChain>
</file>

<file path=xl/sharedStrings.xml><?xml version="1.0" encoding="utf-8"?>
<sst xmlns="http://schemas.openxmlformats.org/spreadsheetml/2006/main" count="819" uniqueCount="580">
  <si>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</si>
  <si>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</si>
  <si>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</si>
  <si>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</si>
  <si>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</si>
  <si>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</si>
  <si>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</si>
  <si>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</si>
  <si>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</si>
  <si>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</si>
  <si>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</si>
  <si>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</si>
  <si>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</si>
  <si>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</si>
  <si>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</si>
  <si>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</si>
  <si>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</si>
  <si>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</si>
  <si>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</si>
  <si>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</si>
  <si>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</si>
  <si>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</si>
  <si>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</si>
  <si>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</si>
  <si>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</si>
  <si>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</si>
  <si>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</si>
  <si>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</si>
  <si>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</si>
  <si>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</si>
  <si>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</si>
  <si>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</si>
  <si>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</si>
  <si>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</si>
  <si>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</si>
  <si>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</si>
  <si>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</si>
  <si>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</si>
  <si>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</si>
  <si>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</si>
  <si>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</si>
  <si>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</si>
  <si>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</si>
  <si>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</si>
  <si>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</si>
  <si>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</si>
  <si>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</si>
  <si>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</si>
  <si>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</si>
  <si>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</si>
  <si>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</si>
  <si>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</si>
  <si>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</si>
  <si>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</si>
  <si>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</si>
  <si>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</si>
  <si>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</si>
  <si>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</si>
  <si>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</si>
  <si>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</si>
  <si>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</si>
  <si>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</si>
  <si>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</si>
  <si>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</si>
  <si>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</si>
  <si>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</si>
  <si>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</si>
  <si>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</si>
  <si>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</si>
  <si>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</si>
  <si>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</si>
  <si>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</si>
  <si>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</si>
  <si>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</si>
  <si>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</si>
  <si>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</si>
  <si>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</si>
  <si>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</si>
  <si>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</si>
  <si>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</si>
  <si>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</si>
  <si>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</si>
  <si>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</si>
  <si>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</si>
  <si>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</si>
  <si>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</si>
  <si>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</si>
  <si>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</si>
  <si>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</si>
  <si>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</si>
  <si>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</si>
  <si>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</si>
  <si>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</si>
  <si>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</si>
  <si>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</si>
  <si>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</si>
  <si>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</si>
  <si>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</si>
  <si>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</si>
  <si>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</si>
  <si>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</si>
  <si>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</si>
  <si>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</si>
  <si>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</si>
  <si>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</si>
  <si>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</si>
  <si>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</si>
  <si>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</si>
  <si>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</si>
  <si>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</si>
  <si>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</si>
  <si>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</si>
  <si>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</si>
  <si>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</si>
  <si>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</si>
  <si>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</si>
  <si>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</si>
  <si>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</si>
  <si>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</si>
  <si>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</si>
  <si>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</si>
  <si>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</si>
  <si>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</si>
  <si>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</si>
  <si>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</si>
  <si>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</si>
  <si>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</si>
  <si>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</si>
  <si>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</si>
  <si>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</si>
  <si>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</si>
  <si>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</si>
  <si>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</si>
  <si>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</si>
  <si>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</si>
  <si>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</si>
  <si>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</si>
  <si>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</si>
  <si>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</si>
  <si>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</si>
  <si>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</si>
  <si>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</si>
  <si>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</si>
  <si>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</si>
  <si>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</si>
  <si>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</si>
  <si>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</si>
  <si>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</si>
  <si>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</si>
  <si>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</si>
  <si>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</si>
  <si>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</si>
  <si>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</si>
  <si>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</si>
  <si>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</si>
  <si>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</si>
  <si>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</si>
  <si>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</si>
  <si>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</si>
  <si>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</si>
  <si>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</si>
  <si>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</si>
  <si>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</si>
  <si>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</si>
  <si>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</si>
  <si>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</si>
  <si>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</si>
  <si>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</si>
  <si>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</si>
  <si>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</si>
  <si>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</si>
  <si>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</si>
  <si>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</si>
  <si>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</si>
  <si>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</si>
  <si>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</si>
  <si>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</si>
  <si>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</si>
  <si>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</si>
  <si>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</si>
  <si>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</si>
  <si>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</si>
  <si>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</si>
  <si>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</si>
  <si>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</si>
  <si>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</si>
  <si>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</si>
  <si>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</si>
  <si>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</si>
  <si>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</si>
  <si>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</si>
  <si>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</si>
  <si>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</si>
  <si>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</si>
  <si>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</si>
  <si>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</si>
  <si>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</si>
  <si>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</si>
  <si>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</si>
  <si>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</si>
  <si>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</si>
  <si>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</si>
  <si>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</si>
  <si>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</si>
  <si>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</si>
  <si>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</si>
  <si>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</si>
  <si>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</si>
  <si>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</si>
  <si>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</si>
  <si>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</si>
  <si>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</si>
  <si>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</si>
  <si>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</si>
  <si>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</si>
  <si>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</si>
  <si>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</si>
  <si>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</si>
  <si>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</si>
  <si>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</si>
  <si>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</si>
  <si>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</si>
  <si>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</si>
  <si>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</si>
  <si>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</si>
  <si>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</si>
  <si>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</si>
  <si>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</si>
  <si>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</si>
  <si>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</si>
  <si>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</si>
  <si>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</si>
  <si>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</si>
  <si>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</si>
  <si>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</si>
  <si>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</si>
  <si>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</si>
  <si>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</si>
  <si>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</si>
  <si>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</si>
  <si>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</si>
  <si>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</si>
  <si>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</si>
  <si>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</si>
  <si>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</si>
  <si>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</si>
  <si>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</si>
  <si>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</si>
  <si>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</si>
  <si>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</si>
  <si>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</si>
  <si>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</si>
  <si>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</si>
  <si>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</si>
  <si>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</si>
  <si>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</si>
  <si>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</si>
  <si>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</si>
  <si>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</si>
  <si>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</si>
  <si>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</si>
  <si>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</si>
  <si>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</si>
  <si>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</si>
  <si>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</si>
  <si>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</si>
  <si>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</si>
  <si>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</si>
  <si>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</si>
  <si>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</si>
  <si>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</si>
  <si>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</si>
  <si>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</si>
  <si>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</si>
  <si>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</si>
  <si>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</si>
  <si>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</si>
  <si>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</si>
  <si>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</si>
  <si>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</si>
  <si>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</si>
  <si>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</si>
  <si>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</si>
  <si>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</si>
  <si>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</si>
  <si>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</si>
  <si>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</si>
  <si>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</si>
  <si>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</si>
  <si>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</si>
  <si>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</si>
  <si>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</si>
  <si>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</si>
  <si>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</si>
  <si>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</si>
  <si>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</si>
  <si>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</si>
  <si>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</si>
  <si>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</si>
  <si>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</si>
  <si>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</si>
  <si>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</si>
  <si>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</si>
  <si>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</si>
  <si>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</si>
  <si>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</si>
  <si>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</si>
  <si>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</si>
  <si>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</si>
  <si>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</si>
  <si>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</si>
  <si>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</si>
  <si>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</si>
  <si>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</si>
  <si>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</si>
  <si>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</si>
  <si>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</si>
  <si>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</si>
  <si>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</si>
  <si>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</si>
  <si>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</si>
  <si>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</si>
  <si>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</si>
  <si>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</si>
  <si>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</si>
  <si>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</si>
  <si>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</si>
  <si>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</si>
  <si>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</si>
  <si>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</si>
  <si>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</si>
  <si>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</si>
  <si>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</si>
  <si>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</si>
  <si>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</si>
  <si>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</si>
  <si>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</si>
  <si>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</si>
  <si>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</si>
  <si>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</si>
  <si>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</si>
  <si>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</si>
  <si>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</si>
  <si>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</si>
  <si>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</si>
  <si>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</si>
  <si>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</si>
  <si>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</si>
  <si>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</si>
  <si>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</si>
  <si>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</si>
  <si>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</si>
  <si>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</si>
  <si>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</si>
  <si>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</si>
  <si>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</si>
  <si>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</si>
  <si>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</si>
  <si>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</si>
  <si>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</si>
  <si>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</si>
  <si>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</si>
  <si>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</si>
  <si>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</si>
  <si>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</si>
  <si>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</si>
  <si>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</si>
  <si>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</si>
  <si>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</si>
  <si>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</si>
  <si>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</si>
  <si>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</si>
  <si>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</si>
  <si>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</si>
  <si>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</si>
  <si>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</si>
  <si>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</si>
  <si>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</si>
  <si>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</si>
  <si>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</si>
  <si>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</si>
  <si>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</si>
  <si>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</si>
  <si>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</si>
  <si>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</si>
  <si>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</si>
  <si>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</si>
  <si>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</si>
  <si>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</si>
  <si>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</si>
  <si>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</si>
  <si>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</si>
  <si>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</si>
  <si>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</si>
  <si>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</si>
  <si>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</si>
  <si>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</si>
  <si>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</si>
  <si>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</si>
  <si>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</si>
  <si>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</si>
  <si>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</si>
  <si>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</si>
  <si>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</si>
  <si>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</si>
  <si>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</si>
  <si>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</si>
  <si>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</si>
  <si>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</si>
  <si>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</si>
  <si>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</si>
  <si>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</si>
  <si>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</si>
  <si>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</si>
  <si>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</si>
  <si>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</si>
  <si>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</si>
  <si>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</si>
  <si>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</si>
  <si>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</si>
  <si>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</si>
  <si>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</si>
  <si>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</si>
  <si>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</si>
  <si>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</si>
  <si>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</si>
  <si>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</si>
  <si>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</si>
  <si>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</si>
  <si>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</si>
  <si>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</si>
  <si>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</si>
  <si>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</si>
  <si>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</si>
  <si>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</si>
  <si>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</si>
  <si>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</si>
  <si>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</si>
  <si>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</si>
  <si>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</si>
  <si>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</si>
  <si>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</si>
  <si>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</si>
  <si>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</si>
  <si>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</si>
  <si>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</si>
  <si>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</si>
  <si>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</si>
  <si>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</si>
  <si>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</si>
  <si>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</si>
  <si>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</si>
  <si>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</si>
  <si>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</si>
  <si>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</si>
  <si>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</si>
  <si>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</si>
  <si>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</si>
  <si>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</si>
  <si>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</si>
  <si>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</si>
  <si>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</si>
  <si>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</si>
  <si>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</si>
  <si>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</si>
  <si>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</si>
  <si>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</si>
  <si>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</si>
  <si>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</si>
  <si>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</si>
  <si>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</si>
  <si>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</si>
  <si>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</si>
  <si>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</si>
  <si>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</si>
  <si>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</si>
  <si>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</si>
  <si>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</si>
  <si>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</si>
  <si>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</si>
  <si>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</si>
  <si>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</si>
  <si>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</si>
  <si>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</si>
  <si>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</si>
  <si>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</si>
  <si>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</si>
  <si>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</si>
  <si>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</si>
  <si>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</si>
  <si>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</si>
  <si>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</si>
  <si>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</si>
  <si>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</si>
  <si>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</si>
  <si>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</si>
  <si>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</si>
  <si>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</si>
  <si>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</si>
  <si>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</si>
  <si>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</si>
  <si>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</si>
  <si>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</si>
  <si>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</si>
  <si>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</si>
  <si>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</si>
  <si>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</si>
  <si>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</si>
  <si>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</si>
  <si>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</si>
  <si>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</si>
  <si>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</si>
  <si>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</si>
  <si>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</si>
  <si>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</si>
  <si>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</si>
  <si>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</si>
  <si>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</si>
  <si>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</si>
  <si>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</si>
  <si>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</si>
  <si>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</si>
  <si>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</si>
  <si>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</si>
  <si>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</si>
  <si>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</si>
  <si>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</si>
  <si>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</si>
  <si>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</si>
  <si>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</si>
  <si>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</si>
  <si>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</si>
  <si>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</si>
  <si>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</si>
  <si>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</si>
  <si>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</si>
  <si>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</si>
  <si>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</si>
  <si>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</si>
  <si>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</si>
  <si>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</si>
  <si>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</si>
  <si>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</si>
  <si>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</si>
  <si>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</si>
  <si>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</si>
  <si>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</si>
  <si>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</si>
  <si>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</si>
  <si>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</si>
  <si>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</si>
  <si>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</si>
  <si>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</si>
  <si>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</si>
  <si>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</si>
  <si>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</si>
  <si>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</si>
  <si>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</si>
  <si>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</si>
  <si>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</si>
  <si>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</si>
  <si>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</si>
  <si>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</si>
  <si>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</si>
  <si>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</si>
  <si>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</si>
  <si>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</si>
  <si>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</si>
  <si>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</si>
  <si>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</si>
  <si>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Esito</t>
  </si>
  <si>
    <t>respinto</t>
  </si>
  <si>
    <t>sufficiente</t>
  </si>
  <si>
    <t>discreto</t>
  </si>
  <si>
    <t>buono</t>
  </si>
  <si>
    <t>Punteggi</t>
  </si>
  <si>
    <t>Esiti</t>
  </si>
  <si>
    <t>Categoria fatture</t>
  </si>
  <si>
    <t>Fatture emesse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</si>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</sst>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9" formatCode="#,##0.00\ &quot;€&quot;"/>
  </numFmts>
  <fonts count="9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5" fontId="5" fillId="4" borderId="1" xfId="0" applyNumberFormat="1" applyFont="1" applyFill="1" applyBorder="1"/>
    <xf numFmtId="0" fontId="0" fillId="5" borderId="0" xfId="0" applyFill="1"/>
    <xf numFmtId="169" fontId="0" fillId="5" borderId="0" xfId="0" applyNumberFormat="1" applyFill="1"/>
    <xf numFmtId="0" fontId="8" fillId="5" borderId="0" xfId="0" applyFont="1" applyFill="1"/>
    <xf numFmtId="0" fontId="1" fillId="5" borderId="0" xfId="0" applyFont="1" applyFill="1"/>
    <xf numFmtId="0" fontId="4" fillId="5" borderId="0" xfId="0" applyFont="1" applyFill="1"/>
    <xf numFmtId="0" fontId="4" fillId="6" borderId="0" xfId="0" applyFont="1" applyFill="1"/>
  </cellXfs>
  <cellStyles count="1">
    <cellStyle name="Normale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48" activePane="bottomLeft" state="frozen"/>
      <selection pane="bottomLeft" activeCell="E2" sqref="E2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4.6640625" bestFit="1" customWidth="1"/>
    <col min="5" max="5" width="89.6640625" bestFit="1" customWidth="1"/>
    <col min="6" max="6" width="5.5546875" customWidth="1"/>
    <col min="7" max="7" width="7.109375" customWidth="1"/>
    <col min="8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C2*0.2</f>
        <v>56200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C3*0.2</f>
        <v>64600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C67*0.2</f>
        <v>100200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C131*0.2</f>
        <v>19400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C195*0.2</f>
        <v>2200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C259*0.2</f>
        <v>45400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C323*0.2</f>
        <v>16000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E13" sqref="E13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9.33203125" customWidth="1"/>
    <col min="6" max="6" width="9" bestFit="1" customWidth="1"/>
    <col min="7" max="7" width="14.33203125" customWidth="1"/>
    <col min="8" max="8" width="8" customWidth="1"/>
    <col min="9" max="26" width="9.33203125" customWidth="1"/>
  </cols>
  <sheetData>
    <row r="1" spans="1:26" ht="12.75" customHeight="1" x14ac:dyDescent="0.3">
      <c r="A1" s="6" t="s">
        <v>484</v>
      </c>
      <c r="B1" s="6" t="s">
        <v>485</v>
      </c>
      <c r="C1" s="6" t="s">
        <v>570</v>
      </c>
      <c r="D1" s="4"/>
      <c r="E1" s="19" t="s">
        <v>575</v>
      </c>
      <c r="F1" s="19" t="s">
        <v>576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21" t="str">
        <f>VLOOKUP(B2,$E$2:$F$5,2,TRUE)</f>
        <v>sufficiente</v>
      </c>
      <c r="D2" s="8"/>
      <c r="E2" s="20">
        <v>0</v>
      </c>
      <c r="F2" s="20" t="s">
        <v>571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21" t="str">
        <f t="shared" ref="C3:C8" si="0">VLOOKUP(B3,$E$2:$F$5,2,TRUE)</f>
        <v>discreto</v>
      </c>
      <c r="E3" s="20">
        <v>40</v>
      </c>
      <c r="F3" s="20" t="s">
        <v>572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21" t="str">
        <f t="shared" si="0"/>
        <v>discreto</v>
      </c>
      <c r="E4" s="20">
        <v>60</v>
      </c>
      <c r="F4" s="20" t="s">
        <v>573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21" t="str">
        <f t="shared" si="0"/>
        <v>sufficiente</v>
      </c>
      <c r="E5" s="20">
        <v>70</v>
      </c>
      <c r="F5" s="20" t="s">
        <v>574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21" t="str">
        <f t="shared" si="0"/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21" t="str">
        <f t="shared" si="0"/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21" t="str">
        <f t="shared" si="0"/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K14" sqref="K14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7" width="19" bestFit="1" customWidth="1"/>
    <col min="8" max="8" width="17.77734375" bestFit="1" customWidth="1"/>
    <col min="9" max="9" width="17.5546875" bestFit="1" customWidth="1"/>
    <col min="10" max="24" width="8.6640625" customWidth="1"/>
  </cols>
  <sheetData>
    <row r="1" spans="1:24" ht="18" thickBo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5" t="s">
        <v>577</v>
      </c>
      <c r="H1" s="15" t="s">
        <v>578</v>
      </c>
      <c r="I1" s="15" t="s">
        <v>579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6" t="s">
        <v>499</v>
      </c>
      <c r="H2" s="16">
        <f>COUNTIF($C$2:$C$80,G2)</f>
        <v>11</v>
      </c>
      <c r="I2" s="17">
        <f>SUMIF($C$2:$C$80,G2,$D$2:$D$80)</f>
        <v>611780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18" t="s">
        <v>558</v>
      </c>
      <c r="H3" s="16">
        <f t="shared" ref="H3:H6" si="0">COUNTIF($C$2:$C$80,G3)</f>
        <v>5</v>
      </c>
      <c r="I3" s="17">
        <f t="shared" ref="I3:I5" si="1">SUMIF($C$2:$C$80,G3,$D$2:$D$80)</f>
        <v>30860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8" t="s">
        <v>506</v>
      </c>
      <c r="H4" s="16">
        <f t="shared" si="0"/>
        <v>4</v>
      </c>
      <c r="I4" s="17">
        <f t="shared" si="1"/>
        <v>54000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8" t="s">
        <v>547</v>
      </c>
      <c r="H5" s="16">
        <f t="shared" si="0"/>
        <v>4</v>
      </c>
      <c r="I5" s="17">
        <f t="shared" si="1"/>
        <v>6765600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G6" s="18" t="s">
        <v>501</v>
      </c>
      <c r="H6" s="16">
        <f>COUNTIF($B$2:$B$80,G6)</f>
        <v>2</v>
      </c>
      <c r="I6" s="17">
        <f>SUMIF($B$2:$B$80,G6,$D$2:$D$80)</f>
        <v>73450</v>
      </c>
    </row>
    <row r="7" spans="1:24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18" t="s">
        <v>507</v>
      </c>
      <c r="H7" s="16">
        <f t="shared" ref="H7:H12" si="2">COUNTIF($B$2:$B$80,G7)</f>
        <v>1</v>
      </c>
      <c r="I7" s="17">
        <f t="shared" ref="I7:I12" si="3">SUMIF($B$2:$B$80,G7,$D$2:$D$80)</f>
        <v>50800</v>
      </c>
    </row>
    <row r="8" spans="1:24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8" t="s">
        <v>509</v>
      </c>
      <c r="H8" s="16">
        <f t="shared" si="2"/>
        <v>1</v>
      </c>
      <c r="I8" s="17">
        <f t="shared" si="3"/>
        <v>98450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18" t="s">
        <v>511</v>
      </c>
      <c r="H9" s="16">
        <f t="shared" si="2"/>
        <v>1</v>
      </c>
      <c r="I9" s="17">
        <f t="shared" si="3"/>
        <v>7950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8" t="s">
        <v>525</v>
      </c>
      <c r="H10" s="16">
        <f t="shared" si="2"/>
        <v>4</v>
      </c>
      <c r="I10" s="17">
        <f t="shared" si="3"/>
        <v>283000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8" t="s">
        <v>528</v>
      </c>
      <c r="H11" s="16">
        <f t="shared" si="2"/>
        <v>2</v>
      </c>
      <c r="I11" s="17">
        <f t="shared" si="3"/>
        <v>107700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18" t="s">
        <v>529</v>
      </c>
      <c r="H12" s="16">
        <f t="shared" si="2"/>
        <v>1</v>
      </c>
      <c r="I12" s="17">
        <f t="shared" si="3"/>
        <v>27270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mattia montagner</cp:lastModifiedBy>
  <dcterms:created xsi:type="dcterms:W3CDTF">2005-04-12T12:35:30Z</dcterms:created>
  <dcterms:modified xsi:type="dcterms:W3CDTF">2026-02-10T18:05:48Z</dcterms:modified>
</cp:coreProperties>
</file>